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envienstudio.sharepoint.com/Shared Documents/Potential/DOE RD Submission/3 - Market Research/doe-SBIR-research-project/data-files/0-for_narrative/"/>
    </mc:Choice>
  </mc:AlternateContent>
  <xr:revisionPtr revIDLastSave="76" documentId="11_DC7C41632C2255C84ADB0146C05E3113741BB10B" xr6:coauthVersionLast="47" xr6:coauthVersionMax="47" xr10:uidLastSave="{395F354D-BE6A-43A8-B5AE-A34BA1B7257B}"/>
  <bookViews>
    <workbookView xWindow="-28905" yWindow="60" windowWidth="14535" windowHeight="15585" activeTab="1" xr2:uid="{00000000-000D-0000-FFFF-FFFF00000000}"/>
  </bookViews>
  <sheets>
    <sheet name="Summary with Graphs" sheetId="1" r:id="rId1"/>
    <sheet name="Building Type Summary" sheetId="2" r:id="rId2"/>
    <sheet name="GFA Summary" sheetId="3" r:id="rId3"/>
    <sheet name="EUI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" l="1"/>
  <c r="J2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2" i="2"/>
  <c r="W17" i="2"/>
  <c r="R17" i="2"/>
  <c r="S17" i="2"/>
  <c r="X17" i="2" s="1"/>
  <c r="T17" i="2"/>
  <c r="Y17" i="2" s="1"/>
  <c r="U17" i="2"/>
  <c r="Z17" i="2" s="1"/>
  <c r="Q17" i="2"/>
  <c r="Y3" i="2"/>
  <c r="Z3" i="2"/>
  <c r="W4" i="2"/>
  <c r="X4" i="2"/>
  <c r="Y4" i="2"/>
  <c r="Z4" i="2"/>
  <c r="W5" i="2"/>
  <c r="X5" i="2"/>
  <c r="Y5" i="2"/>
  <c r="Z11" i="2"/>
  <c r="R2" i="2"/>
  <c r="W2" i="2" s="1"/>
  <c r="S2" i="2"/>
  <c r="X2" i="2" s="1"/>
  <c r="T2" i="2"/>
  <c r="Y2" i="2" s="1"/>
  <c r="U2" i="2"/>
  <c r="Z2" i="2" s="1"/>
  <c r="R3" i="2"/>
  <c r="W3" i="2" s="1"/>
  <c r="S3" i="2"/>
  <c r="X3" i="2" s="1"/>
  <c r="T3" i="2"/>
  <c r="U3" i="2"/>
  <c r="R4" i="2"/>
  <c r="S4" i="2"/>
  <c r="T4" i="2"/>
  <c r="U4" i="2"/>
  <c r="R5" i="2"/>
  <c r="S5" i="2"/>
  <c r="T5" i="2"/>
  <c r="U5" i="2"/>
  <c r="Z5" i="2" s="1"/>
  <c r="R6" i="2"/>
  <c r="W6" i="2" s="1"/>
  <c r="S6" i="2"/>
  <c r="X6" i="2" s="1"/>
  <c r="T6" i="2"/>
  <c r="Y6" i="2" s="1"/>
  <c r="U6" i="2"/>
  <c r="Z6" i="2" s="1"/>
  <c r="R7" i="2"/>
  <c r="W7" i="2" s="1"/>
  <c r="S7" i="2"/>
  <c r="X7" i="2" s="1"/>
  <c r="T7" i="2"/>
  <c r="Y7" i="2" s="1"/>
  <c r="U7" i="2"/>
  <c r="Z7" i="2" s="1"/>
  <c r="R8" i="2"/>
  <c r="W8" i="2" s="1"/>
  <c r="S8" i="2"/>
  <c r="X8" i="2" s="1"/>
  <c r="T8" i="2"/>
  <c r="Y8" i="2" s="1"/>
  <c r="U8" i="2"/>
  <c r="Z8" i="2" s="1"/>
  <c r="R9" i="2"/>
  <c r="W9" i="2" s="1"/>
  <c r="S9" i="2"/>
  <c r="X9" i="2" s="1"/>
  <c r="T9" i="2"/>
  <c r="Y9" i="2" s="1"/>
  <c r="U9" i="2"/>
  <c r="Z9" i="2" s="1"/>
  <c r="R10" i="2"/>
  <c r="W10" i="2" s="1"/>
  <c r="S10" i="2"/>
  <c r="X10" i="2" s="1"/>
  <c r="T10" i="2"/>
  <c r="Y10" i="2" s="1"/>
  <c r="U10" i="2"/>
  <c r="Z10" i="2" s="1"/>
  <c r="R11" i="2"/>
  <c r="W11" i="2" s="1"/>
  <c r="S11" i="2"/>
  <c r="X11" i="2" s="1"/>
  <c r="T11" i="2"/>
  <c r="Y11" i="2" s="1"/>
  <c r="U11" i="2"/>
  <c r="R12" i="2"/>
  <c r="W12" i="2" s="1"/>
  <c r="S12" i="2"/>
  <c r="X12" i="2" s="1"/>
  <c r="T12" i="2"/>
  <c r="Y12" i="2" s="1"/>
  <c r="U12" i="2"/>
  <c r="Z12" i="2" s="1"/>
  <c r="R13" i="2"/>
  <c r="W13" i="2" s="1"/>
  <c r="S13" i="2"/>
  <c r="X13" i="2" s="1"/>
  <c r="T13" i="2"/>
  <c r="Y13" i="2" s="1"/>
  <c r="U13" i="2"/>
  <c r="Z13" i="2" s="1"/>
  <c r="R14" i="2"/>
  <c r="W14" i="2" s="1"/>
  <c r="S14" i="2"/>
  <c r="X14" i="2" s="1"/>
  <c r="T14" i="2"/>
  <c r="Y14" i="2" s="1"/>
  <c r="U14" i="2"/>
  <c r="Z14" i="2" s="1"/>
  <c r="R15" i="2"/>
  <c r="W15" i="2" s="1"/>
  <c r="S15" i="2"/>
  <c r="X15" i="2" s="1"/>
  <c r="T15" i="2"/>
  <c r="Y15" i="2" s="1"/>
  <c r="U15" i="2"/>
  <c r="Z15" i="2" s="1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<sst xmlns="http://schemas.openxmlformats.org/spreadsheetml/2006/main" count="90" uniqueCount="56">
  <si>
    <t>BERDO Property Type</t>
  </si>
  <si>
    <t>total_count</t>
  </si>
  <si>
    <t>total_gfa</t>
  </si>
  <si>
    <t>total_ghg</t>
  </si>
  <si>
    <t>percentage_of_total_buildings</t>
  </si>
  <si>
    <t>percentage_of_total_gfa</t>
  </si>
  <si>
    <t>percentage_of_total_ghg</t>
  </si>
  <si>
    <t>percent_of_city_wide_ghg</t>
  </si>
  <si>
    <t>percent_of_building_sector_ghg</t>
  </si>
  <si>
    <t>Total Fines</t>
  </si>
  <si>
    <t>Total Fines_2030_2034</t>
  </si>
  <si>
    <t>Total Fines_2035_2039</t>
  </si>
  <si>
    <t>Total Fines_2040_2044</t>
  </si>
  <si>
    <t>Total Fines_2045_2049</t>
  </si>
  <si>
    <t>Assembly</t>
  </si>
  <si>
    <t>College/University</t>
  </si>
  <si>
    <t>Education</t>
  </si>
  <si>
    <t>Food Sales &amp; Service</t>
  </si>
  <si>
    <t>Healthcare</t>
  </si>
  <si>
    <t>Lodging</t>
  </si>
  <si>
    <t>Manufacturing/Industrial</t>
  </si>
  <si>
    <t>Multifamily Housing</t>
  </si>
  <si>
    <t>Office</t>
  </si>
  <si>
    <t>Property Type Not Recognized in Database</t>
  </si>
  <si>
    <t>Retail</t>
  </si>
  <si>
    <t>Services</t>
  </si>
  <si>
    <t>Storage</t>
  </si>
  <si>
    <t>Technology/Science</t>
  </si>
  <si>
    <t>count</t>
  </si>
  <si>
    <t>q1</t>
  </si>
  <si>
    <t>q2</t>
  </si>
  <si>
    <t>q3</t>
  </si>
  <si>
    <t>&lt;50k sf Count</t>
  </si>
  <si>
    <t>50k-100k sf Count</t>
  </si>
  <si>
    <t>150k-250k sf Count</t>
  </si>
  <si>
    <t>250k-500k sf Count</t>
  </si>
  <si>
    <t>500k-1M sf Count</t>
  </si>
  <si>
    <t>&gt;1M sf Count</t>
  </si>
  <si>
    <t>&lt;20 kbtu/sf Count</t>
  </si>
  <si>
    <t>&lt;40 kbtu/sf Count</t>
  </si>
  <si>
    <t>&lt;60 kbtu/sf Count</t>
  </si>
  <si>
    <t>&lt;80 kbtu/sf Count</t>
  </si>
  <si>
    <t>&lt;100 kbtu/sf Count</t>
  </si>
  <si>
    <t>&lt;150 kbtu/sf Count</t>
  </si>
  <si>
    <t>&lt;250 kbtu/sf Count</t>
  </si>
  <si>
    <t>&lt;500 kbtu/sf Count</t>
  </si>
  <si>
    <t>&gt;500 kbtu/sf Count</t>
  </si>
  <si>
    <t>2025-2029</t>
  </si>
  <si>
    <t>2030-2034</t>
  </si>
  <si>
    <t>2035-2039</t>
  </si>
  <si>
    <t>2040-2044</t>
  </si>
  <si>
    <t>2045-2049</t>
  </si>
  <si>
    <t>2025-&gt;2035</t>
  </si>
  <si>
    <t>2030-&gt;2040</t>
  </si>
  <si>
    <t>2035-&gt;2045</t>
  </si>
  <si>
    <t>2040-&gt;2050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</si>
</sst>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4" fontId="0" fillId="0" borderId="0" xfId="1" applyFont="1"/>
    <xf numFmtId="9" fontId="0" fillId="0" borderId="0" xfId="2" applyFont="1"/>
    <xf numFmtId="0" fontId="4" fillId="0" borderId="0" xfId="0" applyFont="1"/>
    <xf numFmtId="44" fontId="4" fillId="0" borderId="0" xfId="1" applyFont="1"/>
    <xf numFmtId="9" fontId="4" fillId="0" borderId="0" xfId="2" applyFont="1"/>
    <xf numFmtId="0" fontId="1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164" fontId="0" fillId="0" borderId="0" xfId="2" applyNumberFormat="1" applyFont="1"/>
    <xf numFmtId="164" fontId="0" fillId="2" borderId="0" xfId="2" applyNumberFormat="1" applyFont="1" applyFill="1"/>
    <xf numFmtId="165" fontId="0" fillId="0" borderId="0" xfId="3" applyNumberFormat="1" applyFon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tabSelected="1" topLeftCell="I1" workbookViewId="0">
      <selection activeCell="L21" sqref="L21"/>
    </sheetView>
  </sheetViews>
  <sheetFormatPr defaultRowHeight="15" x14ac:dyDescent="0.25"/>
  <cols>
    <col min="10" max="10" width="16.85546875" bestFit="1" customWidth="1"/>
    <col min="11" max="11" width="21" bestFit="1" customWidth="1"/>
    <col min="12" max="14" width="20.85546875" bestFit="1" customWidth="1"/>
    <col min="15" max="15" width="20.85546875" customWidth="1"/>
    <col min="17" max="21" width="10.5703125" bestFit="1" customWidth="1"/>
    <col min="23" max="26" width="10.7109375" bestFit="1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0"/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W1" s="9" t="s">
        <v>52</v>
      </c>
      <c r="X1" s="9" t="s">
        <v>53</v>
      </c>
      <c r="Y1" s="9" t="s">
        <v>54</v>
      </c>
      <c r="Z1" s="9" t="s">
        <v>55</v>
      </c>
    </row>
    <row r="2" spans="1:27" x14ac:dyDescent="0.25">
      <c r="A2" t="s">
        <v>14</v>
      </c>
      <c r="B2">
        <v>172</v>
      </c>
      <c r="C2">
        <v>12161261</v>
      </c>
      <c r="D2">
        <v>85181</v>
      </c>
      <c r="E2">
        <v>5.7640750670241294</v>
      </c>
      <c r="F2">
        <v>4.0493509400044942</v>
      </c>
      <c r="G2">
        <v>4.5211981087410216</v>
      </c>
      <c r="H2">
        <v>1.3659623121984229E-2</v>
      </c>
      <c r="I2">
        <v>1.9645463284310199E-2</v>
      </c>
      <c r="J2">
        <v>11614268</v>
      </c>
      <c r="K2">
        <v>25918929</v>
      </c>
      <c r="L2">
        <v>33371084</v>
      </c>
      <c r="M2">
        <v>40221730</v>
      </c>
      <c r="N2">
        <v>46373287</v>
      </c>
      <c r="O2" s="11">
        <f>SUM(J2:N2)/SUM($J$2:$N$15)</f>
        <v>4.2193087689412996E-2</v>
      </c>
      <c r="Q2" s="4">
        <f>J2/$C$2</f>
        <v>0.95502168730693304</v>
      </c>
      <c r="R2" s="4">
        <f>K2/$C$2</f>
        <v>2.1312698576241393</v>
      </c>
      <c r="S2" s="4">
        <f>L2/$C$2</f>
        <v>2.7440480062059356</v>
      </c>
      <c r="T2" s="4">
        <f>M2/$C$2</f>
        <v>3.3073650832754926</v>
      </c>
      <c r="U2" s="4">
        <f>N2/$C$2</f>
        <v>3.8131972498575601</v>
      </c>
      <c r="W2" s="5">
        <f>(R2-Q2)/Q2</f>
        <v>1.2316455070607979</v>
      </c>
      <c r="X2" s="5">
        <f t="shared" ref="X2:Y2" si="0">(S2-R2)/R2</f>
        <v>0.28751786001651553</v>
      </c>
      <c r="Y2" s="5">
        <f t="shared" si="0"/>
        <v>0.2052868884930438</v>
      </c>
      <c r="Z2" s="5">
        <f>(U2-T2)/T2</f>
        <v>0.15294113405862952</v>
      </c>
      <c r="AA2" s="5"/>
    </row>
    <row r="3" spans="1:27" x14ac:dyDescent="0.25">
      <c r="A3" t="s">
        <v>15</v>
      </c>
      <c r="B3">
        <v>140</v>
      </c>
      <c r="C3">
        <v>16631088</v>
      </c>
      <c r="D3">
        <v>109057</v>
      </c>
      <c r="E3">
        <v>4.6916890080428946</v>
      </c>
      <c r="F3">
        <v>5.5376750672563846</v>
      </c>
      <c r="G3">
        <v>5.7884775025530297</v>
      </c>
      <c r="H3">
        <v>1.7488377910734019E-2</v>
      </c>
      <c r="I3">
        <v>2.5152032605827788E-2</v>
      </c>
      <c r="J3">
        <v>8439665</v>
      </c>
      <c r="K3">
        <v>23579662</v>
      </c>
      <c r="L3">
        <v>34696816</v>
      </c>
      <c r="M3">
        <v>45648102</v>
      </c>
      <c r="N3">
        <v>59261164</v>
      </c>
      <c r="O3" s="11">
        <f t="shared" ref="O3:O15" si="1">SUM(J3:N3)/SUM($J$2:$N$15)</f>
        <v>4.5977385446304468E-2</v>
      </c>
      <c r="Q3" s="4">
        <f>J3/$C$3</f>
        <v>0.50746319182485233</v>
      </c>
      <c r="R3" s="4">
        <f>K3/$C$3</f>
        <v>1.4178063395491625</v>
      </c>
      <c r="S3" s="4">
        <f>L3/$C$3</f>
        <v>2.0862625463830149</v>
      </c>
      <c r="T3" s="4">
        <f>M3/$C$3</f>
        <v>2.744745382863707</v>
      </c>
      <c r="U3" s="4">
        <f>N3/$C$3</f>
        <v>3.5632764374766102</v>
      </c>
      <c r="W3" s="5">
        <f t="shared" ref="W3:W15" si="2">(R3-Q3)/Q3</f>
        <v>1.7939097108712256</v>
      </c>
      <c r="X3" s="5">
        <f t="shared" ref="X3:X15" si="3">(S3-R3)/R3</f>
        <v>0.47147215256944736</v>
      </c>
      <c r="Y3" s="5">
        <f t="shared" ref="Y3:Y15" si="4">(T3-S3)/S3</f>
        <v>0.31562798154159155</v>
      </c>
      <c r="Z3" s="5">
        <f t="shared" ref="Z3:Z15" si="5">(U3-T3)/T3</f>
        <v>0.29821748119998504</v>
      </c>
    </row>
    <row r="4" spans="1:27" x14ac:dyDescent="0.25">
      <c r="A4" t="s">
        <v>16</v>
      </c>
      <c r="B4">
        <v>183</v>
      </c>
      <c r="C4">
        <v>13994060</v>
      </c>
      <c r="D4">
        <v>63027</v>
      </c>
      <c r="E4">
        <v>6.1327077747989271</v>
      </c>
      <c r="F4">
        <v>4.6596204139915498</v>
      </c>
      <c r="G4">
        <v>3.345318242326579</v>
      </c>
      <c r="H4">
        <v>1.010700821203438E-2</v>
      </c>
      <c r="I4">
        <v>1.4536042244399789E-2</v>
      </c>
      <c r="J4">
        <v>10961367</v>
      </c>
      <c r="K4">
        <v>27414902</v>
      </c>
      <c r="L4">
        <v>34195899</v>
      </c>
      <c r="M4">
        <v>40532593</v>
      </c>
      <c r="N4">
        <v>47008543</v>
      </c>
      <c r="O4" s="11">
        <f t="shared" si="1"/>
        <v>4.2893363727333191E-2</v>
      </c>
      <c r="Q4" s="4">
        <f>J4/$C$4</f>
        <v>0.78328712325086502</v>
      </c>
      <c r="R4" s="4">
        <f>K4/$C$4</f>
        <v>1.9590384777541328</v>
      </c>
      <c r="S4" s="4">
        <f>L4/$C$4</f>
        <v>2.4436009992811236</v>
      </c>
      <c r="T4" s="4">
        <f>M4/$C$4</f>
        <v>2.8964141214200883</v>
      </c>
      <c r="U4" s="4">
        <f>N4/$C$4</f>
        <v>3.3591783228026748</v>
      </c>
      <c r="W4" s="5">
        <f t="shared" si="2"/>
        <v>1.5010477251605567</v>
      </c>
      <c r="X4" s="5">
        <f t="shared" si="3"/>
        <v>0.24734711800173503</v>
      </c>
      <c r="Y4" s="5">
        <f t="shared" si="4"/>
        <v>0.18530567071800041</v>
      </c>
      <c r="Z4" s="5">
        <f t="shared" si="5"/>
        <v>0.15977142148295323</v>
      </c>
    </row>
    <row r="5" spans="1:27" x14ac:dyDescent="0.25">
      <c r="A5" t="s">
        <v>17</v>
      </c>
      <c r="B5">
        <v>33</v>
      </c>
      <c r="C5">
        <v>1557091</v>
      </c>
      <c r="D5">
        <v>22182</v>
      </c>
      <c r="E5">
        <v>1.105898123324397</v>
      </c>
      <c r="F5">
        <v>0.5184666215553253</v>
      </c>
      <c r="G5">
        <v>1.1773660375916379</v>
      </c>
      <c r="H5">
        <v>3.557104989279935E-3</v>
      </c>
      <c r="I5">
        <v>5.1158787355462931E-3</v>
      </c>
      <c r="J5">
        <v>763990</v>
      </c>
      <c r="K5">
        <v>3101699</v>
      </c>
      <c r="L5">
        <v>4925870</v>
      </c>
      <c r="M5">
        <v>6571337</v>
      </c>
      <c r="N5">
        <v>8970552</v>
      </c>
      <c r="O5" s="11">
        <f t="shared" si="1"/>
        <v>6.5187801995775967E-3</v>
      </c>
      <c r="Q5" s="4">
        <f>J5/$C$5</f>
        <v>0.49065211988252455</v>
      </c>
      <c r="R5" s="4">
        <f>K5/$C$5</f>
        <v>1.9919831275114941</v>
      </c>
      <c r="S5" s="4">
        <f>L5/$C$5</f>
        <v>3.1635081058204046</v>
      </c>
      <c r="T5" s="4">
        <f>M5/$C$5</f>
        <v>4.2202652253464956</v>
      </c>
      <c r="U5" s="4">
        <f>N5/$C$5</f>
        <v>5.7610968145085932</v>
      </c>
      <c r="W5" s="5">
        <f t="shared" si="2"/>
        <v>3.0598685846673379</v>
      </c>
      <c r="X5" s="5">
        <f t="shared" si="3"/>
        <v>0.58811993039943589</v>
      </c>
      <c r="Y5" s="5">
        <f t="shared" si="4"/>
        <v>0.3340459654842699</v>
      </c>
      <c r="Z5" s="5">
        <f t="shared" si="5"/>
        <v>0.36510302241385578</v>
      </c>
    </row>
    <row r="6" spans="1:27" x14ac:dyDescent="0.25">
      <c r="A6" t="s">
        <v>18</v>
      </c>
      <c r="B6">
        <v>63</v>
      </c>
      <c r="C6">
        <v>16389615</v>
      </c>
      <c r="D6">
        <v>321475</v>
      </c>
      <c r="E6">
        <v>2.1112600536193029</v>
      </c>
      <c r="F6">
        <v>5.4572714874355341</v>
      </c>
      <c r="G6">
        <v>17.063102828183752</v>
      </c>
      <c r="H6">
        <v>5.1551723308482893E-2</v>
      </c>
      <c r="I6">
        <v>7.4142418019553902E-2</v>
      </c>
      <c r="J6">
        <v>112695717</v>
      </c>
      <c r="K6">
        <v>167984795</v>
      </c>
      <c r="L6">
        <v>189715167</v>
      </c>
      <c r="M6">
        <v>212953492</v>
      </c>
      <c r="N6">
        <v>239371212</v>
      </c>
      <c r="O6" s="11">
        <f t="shared" si="1"/>
        <v>0.24719108292614578</v>
      </c>
      <c r="Q6" s="4">
        <f>J6/$C$6</f>
        <v>6.876044190177744</v>
      </c>
      <c r="R6" s="4">
        <f>K6/$C$6</f>
        <v>10.249465591473625</v>
      </c>
      <c r="S6" s="4">
        <f>L6/$C$6</f>
        <v>11.575327852423623</v>
      </c>
      <c r="T6" s="4">
        <f>M6/$C$6</f>
        <v>12.993196728538162</v>
      </c>
      <c r="U6" s="4">
        <f>N6/$C$6</f>
        <v>14.605053993031563</v>
      </c>
      <c r="W6" s="5">
        <f t="shared" si="2"/>
        <v>0.49060496238734591</v>
      </c>
      <c r="X6" s="5">
        <f t="shared" si="3"/>
        <v>0.12935916015494145</v>
      </c>
      <c r="Y6" s="5">
        <f t="shared" si="4"/>
        <v>0.12249060192430476</v>
      </c>
      <c r="Z6" s="5">
        <f t="shared" si="5"/>
        <v>0.12405394131785356</v>
      </c>
    </row>
    <row r="7" spans="1:27" x14ac:dyDescent="0.25">
      <c r="A7" t="s">
        <v>19</v>
      </c>
      <c r="B7">
        <v>146</v>
      </c>
      <c r="C7">
        <v>21786811</v>
      </c>
      <c r="D7">
        <v>129991</v>
      </c>
      <c r="E7">
        <v>4.8927613941018766</v>
      </c>
      <c r="F7">
        <v>7.254382880406089</v>
      </c>
      <c r="G7">
        <v>6.8996027676753533</v>
      </c>
      <c r="H7">
        <v>2.0845353649873239E-2</v>
      </c>
      <c r="I7">
        <v>2.9980082621603021E-2</v>
      </c>
      <c r="J7">
        <v>14556614</v>
      </c>
      <c r="K7">
        <v>38166117</v>
      </c>
      <c r="L7">
        <v>51017213</v>
      </c>
      <c r="M7">
        <v>62873917</v>
      </c>
      <c r="N7">
        <v>75785884</v>
      </c>
      <c r="O7" s="11">
        <f t="shared" si="1"/>
        <v>6.4937392271274444E-2</v>
      </c>
      <c r="Q7" s="4">
        <f>J7/$C$7</f>
        <v>0.66813881113670104</v>
      </c>
      <c r="R7" s="4">
        <f>K7/$C$7</f>
        <v>1.7517991504126051</v>
      </c>
      <c r="S7" s="4">
        <f>L7/$C$7</f>
        <v>2.3416558302176487</v>
      </c>
      <c r="T7" s="4">
        <f>M7/$C$7</f>
        <v>2.8858705847312853</v>
      </c>
      <c r="U7" s="4">
        <f>N7/$C$7</f>
        <v>3.4785212025752643</v>
      </c>
      <c r="W7" s="5">
        <f t="shared" si="2"/>
        <v>1.6219089824048367</v>
      </c>
      <c r="X7" s="5">
        <f t="shared" si="3"/>
        <v>0.3367147881457262</v>
      </c>
      <c r="Y7" s="5">
        <f t="shared" si="4"/>
        <v>0.23240595286927959</v>
      </c>
      <c r="Z7" s="5">
        <f t="shared" si="5"/>
        <v>0.20536285340708132</v>
      </c>
    </row>
    <row r="8" spans="1:27" x14ac:dyDescent="0.25">
      <c r="A8" t="s">
        <v>20</v>
      </c>
      <c r="B8">
        <v>31</v>
      </c>
      <c r="C8">
        <v>3364028</v>
      </c>
      <c r="D8">
        <v>72175</v>
      </c>
      <c r="E8">
        <v>1.0388739946380701</v>
      </c>
      <c r="F8">
        <v>1.120124791664403</v>
      </c>
      <c r="G8">
        <v>3.8308715969333922</v>
      </c>
      <c r="H8">
        <v>1.157398127316199E-2</v>
      </c>
      <c r="I8">
        <v>1.6645863661439619E-2</v>
      </c>
      <c r="J8">
        <v>25837992</v>
      </c>
      <c r="K8">
        <v>41693280</v>
      </c>
      <c r="L8">
        <v>49651242</v>
      </c>
      <c r="M8">
        <v>57191742</v>
      </c>
      <c r="N8">
        <v>64186943</v>
      </c>
      <c r="O8" s="11">
        <f t="shared" si="1"/>
        <v>6.3909069542002053E-2</v>
      </c>
      <c r="Q8" s="4">
        <f>J8/$C$8</f>
        <v>7.6806709099924255</v>
      </c>
      <c r="R8" s="4">
        <f>K8/$C$8</f>
        <v>12.393856412610122</v>
      </c>
      <c r="S8" s="4">
        <f>L8/$C$8</f>
        <v>14.759461574041595</v>
      </c>
      <c r="T8" s="4">
        <f>M8/$C$8</f>
        <v>17.000970859933389</v>
      </c>
      <c r="U8" s="4">
        <f>N8/$C$8</f>
        <v>19.080383100259571</v>
      </c>
      <c r="W8" s="5">
        <f t="shared" si="2"/>
        <v>0.61364242236780642</v>
      </c>
      <c r="X8" s="5">
        <f t="shared" si="3"/>
        <v>0.19086917603987968</v>
      </c>
      <c r="Y8" s="5">
        <f t="shared" si="4"/>
        <v>0.15186931275556012</v>
      </c>
      <c r="Z8" s="5">
        <f t="shared" si="5"/>
        <v>0.1223113819474148</v>
      </c>
    </row>
    <row r="9" spans="1:27" x14ac:dyDescent="0.25">
      <c r="A9" t="s">
        <v>21</v>
      </c>
      <c r="B9">
        <v>1367</v>
      </c>
      <c r="C9">
        <v>96898495.775099993</v>
      </c>
      <c r="D9">
        <v>374825</v>
      </c>
      <c r="E9">
        <v>45.810991957104562</v>
      </c>
      <c r="F9">
        <v>32.264418546063823</v>
      </c>
      <c r="G9">
        <v>19.89478969616292</v>
      </c>
      <c r="H9">
        <v>6.0106928032046328E-2</v>
      </c>
      <c r="I9">
        <v>8.6446634525792959E-2</v>
      </c>
      <c r="J9">
        <v>31490624</v>
      </c>
      <c r="K9">
        <v>113811593</v>
      </c>
      <c r="L9">
        <v>149941323</v>
      </c>
      <c r="M9">
        <v>193461413</v>
      </c>
      <c r="N9">
        <v>219946832</v>
      </c>
      <c r="O9" s="12">
        <f t="shared" si="1"/>
        <v>0.18984342968794723</v>
      </c>
      <c r="Q9" s="4">
        <f>J9/$C$9</f>
        <v>0.32498568474261236</v>
      </c>
      <c r="R9" s="4">
        <f>K9/$C$9</f>
        <v>1.174544476563961</v>
      </c>
      <c r="S9" s="4">
        <f>L9/$C$9</f>
        <v>1.5474060954259976</v>
      </c>
      <c r="T9" s="4">
        <f>M9/$C$9</f>
        <v>1.9965368033062261</v>
      </c>
      <c r="U9" s="4">
        <f>N9/$C$9</f>
        <v>2.2698683838239702</v>
      </c>
      <c r="W9" s="5">
        <f t="shared" si="2"/>
        <v>2.6141421967376703</v>
      </c>
      <c r="X9" s="5">
        <f t="shared" si="3"/>
        <v>0.31745210700987198</v>
      </c>
      <c r="Y9" s="5">
        <f t="shared" si="4"/>
        <v>0.29024747233956305</v>
      </c>
      <c r="Z9" s="5">
        <f t="shared" si="5"/>
        <v>0.13690285100936397</v>
      </c>
    </row>
    <row r="10" spans="1:27" x14ac:dyDescent="0.25">
      <c r="A10" t="s">
        <v>22</v>
      </c>
      <c r="B10">
        <v>448</v>
      </c>
      <c r="C10">
        <v>82144404.400000006</v>
      </c>
      <c r="D10">
        <v>387465</v>
      </c>
      <c r="E10">
        <v>15.013404825737259</v>
      </c>
      <c r="F10">
        <v>27.351729493614961</v>
      </c>
      <c r="G10">
        <v>20.565689827582911</v>
      </c>
      <c r="H10">
        <v>6.2133878129625383E-2</v>
      </c>
      <c r="I10">
        <v>8.936182284142298E-2</v>
      </c>
      <c r="J10">
        <v>21620472</v>
      </c>
      <c r="K10">
        <v>71068174</v>
      </c>
      <c r="L10">
        <v>90730910</v>
      </c>
      <c r="M10">
        <v>115991065</v>
      </c>
      <c r="N10">
        <v>148134724</v>
      </c>
      <c r="O10" s="12">
        <f t="shared" si="1"/>
        <v>0.11989462954033987</v>
      </c>
      <c r="Q10" s="4">
        <f>J10/$C$10</f>
        <v>0.26320078839113231</v>
      </c>
      <c r="R10" s="4">
        <f>K10/$C$10</f>
        <v>0.86516147410279343</v>
      </c>
      <c r="S10" s="4">
        <f>L10/$C$10</f>
        <v>1.104529403587714</v>
      </c>
      <c r="T10" s="4">
        <f>M10/$C$10</f>
        <v>1.4120385417268908</v>
      </c>
      <c r="U10" s="4">
        <f>N10/$C$10</f>
        <v>1.8033452805703221</v>
      </c>
      <c r="W10" s="5">
        <f t="shared" si="2"/>
        <v>2.2870778214277649</v>
      </c>
      <c r="X10" s="5">
        <f t="shared" si="3"/>
        <v>0.27667428179595555</v>
      </c>
      <c r="Y10" s="5">
        <f t="shared" si="4"/>
        <v>0.27840738068206311</v>
      </c>
      <c r="Z10" s="5">
        <f t="shared" si="5"/>
        <v>0.27712185417040536</v>
      </c>
    </row>
    <row r="11" spans="1:27" s="6" customFormat="1" x14ac:dyDescent="0.25">
      <c r="A11" s="6" t="s">
        <v>23</v>
      </c>
      <c r="B11" s="6">
        <v>48</v>
      </c>
      <c r="C11" s="6">
        <v>3623524</v>
      </c>
      <c r="D11" s="6">
        <v>19671</v>
      </c>
      <c r="E11" s="6">
        <v>1.60857908847185</v>
      </c>
      <c r="F11" s="6">
        <v>1.206529513306954</v>
      </c>
      <c r="G11" s="6">
        <v>1.044088329522366</v>
      </c>
      <c r="H11" s="6">
        <v>3.15444108935739E-3</v>
      </c>
      <c r="I11" s="6">
        <v>4.5367618161992213E-3</v>
      </c>
      <c r="J11" s="6">
        <v>17542473</v>
      </c>
      <c r="K11" s="6">
        <v>18273384</v>
      </c>
      <c r="L11" s="6">
        <v>17258661</v>
      </c>
      <c r="M11" s="6">
        <v>15560475</v>
      </c>
      <c r="N11" s="6">
        <v>13894332</v>
      </c>
      <c r="O11" s="11">
        <f t="shared" si="1"/>
        <v>2.2109095665131563E-2</v>
      </c>
      <c r="Q11" s="7">
        <f>J11/$C$11</f>
        <v>4.8412741298249991</v>
      </c>
      <c r="R11" s="7">
        <f>K11/$C$11</f>
        <v>5.0429868823830057</v>
      </c>
      <c r="S11" s="7">
        <f>L11/$C$11</f>
        <v>4.7629492725865763</v>
      </c>
      <c r="T11" s="7">
        <f>M11/$C$11</f>
        <v>4.2942933453731778</v>
      </c>
      <c r="U11" s="7">
        <f>N11/$C$11</f>
        <v>3.8344804670812169</v>
      </c>
      <c r="W11" s="8">
        <f t="shared" si="2"/>
        <v>4.1665220177337522E-2</v>
      </c>
      <c r="X11" s="8">
        <f t="shared" si="3"/>
        <v>-5.553010870892864E-2</v>
      </c>
      <c r="Y11" s="8">
        <f t="shared" si="4"/>
        <v>-9.8396161787985909E-2</v>
      </c>
      <c r="Z11" s="8">
        <f t="shared" si="5"/>
        <v>-0.10707533028394051</v>
      </c>
    </row>
    <row r="12" spans="1:27" x14ac:dyDescent="0.25">
      <c r="A12" t="s">
        <v>24</v>
      </c>
      <c r="B12">
        <v>51</v>
      </c>
      <c r="C12">
        <v>3292483</v>
      </c>
      <c r="D12">
        <v>22259</v>
      </c>
      <c r="E12">
        <v>1.7091152815013411</v>
      </c>
      <c r="F12">
        <v>1.0963023596811889</v>
      </c>
      <c r="G12">
        <v>1.1814530083289281</v>
      </c>
      <c r="H12">
        <v>3.5694527074376561E-3</v>
      </c>
      <c r="I12">
        <v>5.1336373985449886E-3</v>
      </c>
      <c r="J12">
        <v>4482994</v>
      </c>
      <c r="K12">
        <v>8645642</v>
      </c>
      <c r="L12">
        <v>9543496</v>
      </c>
      <c r="M12">
        <v>10255847</v>
      </c>
      <c r="N12">
        <v>10883301</v>
      </c>
      <c r="O12" s="11">
        <f t="shared" si="1"/>
        <v>1.1736770908181609E-2</v>
      </c>
      <c r="Q12" s="4">
        <f>J12/$C$12</f>
        <v>1.3615845548784915</v>
      </c>
      <c r="R12" s="4">
        <f>K12/$C$12</f>
        <v>2.6258729354107522</v>
      </c>
      <c r="S12" s="4">
        <f>L12/$C$12</f>
        <v>2.898571078423184</v>
      </c>
      <c r="T12" s="4">
        <f>M12/$C$12</f>
        <v>3.1149278523230035</v>
      </c>
      <c r="U12" s="4">
        <f>N12/$C$12</f>
        <v>3.3054995272564809</v>
      </c>
      <c r="W12" s="5">
        <f t="shared" si="2"/>
        <v>0.92854195209719192</v>
      </c>
      <c r="X12" s="5">
        <f t="shared" si="3"/>
        <v>0.10385047171742717</v>
      </c>
      <c r="Y12" s="5">
        <f t="shared" si="4"/>
        <v>7.4642562851181538E-2</v>
      </c>
      <c r="Z12" s="5">
        <f t="shared" si="5"/>
        <v>6.118012485950701E-2</v>
      </c>
    </row>
    <row r="13" spans="1:27" x14ac:dyDescent="0.25">
      <c r="A13" t="s">
        <v>25</v>
      </c>
      <c r="B13">
        <v>145</v>
      </c>
      <c r="C13">
        <v>6751009</v>
      </c>
      <c r="D13">
        <v>37588</v>
      </c>
      <c r="E13">
        <v>4.8592493297587129</v>
      </c>
      <c r="F13">
        <v>2.2478922736818818</v>
      </c>
      <c r="G13">
        <v>1.995078650301799</v>
      </c>
      <c r="H13">
        <v>6.0276107806804717E-3</v>
      </c>
      <c r="I13">
        <v>8.6689951272073788E-3</v>
      </c>
      <c r="J13">
        <v>1163048</v>
      </c>
      <c r="K13">
        <v>8045490</v>
      </c>
      <c r="L13">
        <v>11542366</v>
      </c>
      <c r="M13">
        <v>15923365</v>
      </c>
      <c r="N13">
        <v>21094977</v>
      </c>
      <c r="O13" s="11">
        <f t="shared" si="1"/>
        <v>1.547602365966908E-2</v>
      </c>
      <c r="Q13" s="4">
        <f>J13/$C$13</f>
        <v>0.17227765508829865</v>
      </c>
      <c r="R13" s="4">
        <f>K13/$C$13</f>
        <v>1.1917463004419042</v>
      </c>
      <c r="S13" s="4">
        <f>L13/$C$13</f>
        <v>1.7097245759856046</v>
      </c>
      <c r="T13" s="4">
        <f>M13/$C$13</f>
        <v>2.358664460379182</v>
      </c>
      <c r="U13" s="4">
        <f>N13/$C$13</f>
        <v>3.1247146907965906</v>
      </c>
      <c r="W13" s="5">
        <f t="shared" si="2"/>
        <v>5.9175906755353163</v>
      </c>
      <c r="X13" s="5">
        <f t="shared" si="3"/>
        <v>0.43463803944818791</v>
      </c>
      <c r="Y13" s="5">
        <f t="shared" si="4"/>
        <v>0.37955814258532439</v>
      </c>
      <c r="Z13" s="5">
        <f t="shared" si="5"/>
        <v>0.32478135117797019</v>
      </c>
    </row>
    <row r="14" spans="1:27" x14ac:dyDescent="0.25">
      <c r="A14" t="s">
        <v>26</v>
      </c>
      <c r="B14">
        <v>96</v>
      </c>
      <c r="C14">
        <v>9237339</v>
      </c>
      <c r="D14">
        <v>23615</v>
      </c>
      <c r="E14">
        <v>3.2171581769437001</v>
      </c>
      <c r="F14">
        <v>3.075768817295359</v>
      </c>
      <c r="G14">
        <v>1.253426155338857</v>
      </c>
      <c r="H14">
        <v>3.786900834994395E-3</v>
      </c>
      <c r="I14">
        <v>5.4463743729116273E-3</v>
      </c>
      <c r="J14">
        <v>3102790</v>
      </c>
      <c r="K14">
        <v>6832202</v>
      </c>
      <c r="L14">
        <v>9202073</v>
      </c>
      <c r="M14">
        <v>11339650</v>
      </c>
      <c r="N14">
        <v>13363293</v>
      </c>
      <c r="O14" s="11">
        <f t="shared" si="1"/>
        <v>1.1744466961678569E-2</v>
      </c>
      <c r="Q14" s="4">
        <f>J14/$C$14</f>
        <v>0.33589651738449783</v>
      </c>
      <c r="R14" s="4">
        <f>K14/$C$14</f>
        <v>0.73962880435588652</v>
      </c>
      <c r="S14" s="4">
        <f>L14/$C$14</f>
        <v>0.99618223386626825</v>
      </c>
      <c r="T14" s="4">
        <f>M14/$C$14</f>
        <v>1.2275883779950048</v>
      </c>
      <c r="U14" s="4">
        <f>N14/$C$14</f>
        <v>1.4466604505908032</v>
      </c>
      <c r="W14" s="5">
        <f t="shared" si="2"/>
        <v>1.2019543700991691</v>
      </c>
      <c r="X14" s="5">
        <f t="shared" si="3"/>
        <v>0.34686781801826116</v>
      </c>
      <c r="Y14" s="5">
        <f t="shared" si="4"/>
        <v>0.23229298441775006</v>
      </c>
      <c r="Z14" s="5">
        <f t="shared" si="5"/>
        <v>0.17845727160891209</v>
      </c>
    </row>
    <row r="15" spans="1:27" x14ac:dyDescent="0.25">
      <c r="A15" t="s">
        <v>27</v>
      </c>
      <c r="B15">
        <v>61</v>
      </c>
      <c r="C15">
        <v>12494971</v>
      </c>
      <c r="D15">
        <v>215525</v>
      </c>
      <c r="E15">
        <v>2.044235924932976</v>
      </c>
      <c r="F15">
        <v>4.1604667940420734</v>
      </c>
      <c r="G15">
        <v>11.43953724875746</v>
      </c>
      <c r="H15">
        <v>3.4561583843411688E-2</v>
      </c>
      <c r="I15">
        <v>4.9706958997322817E-2</v>
      </c>
      <c r="J15">
        <v>29782734</v>
      </c>
      <c r="K15">
        <v>72831151</v>
      </c>
      <c r="L15">
        <v>92415296</v>
      </c>
      <c r="M15">
        <v>109230574</v>
      </c>
      <c r="N15">
        <v>127162755</v>
      </c>
      <c r="O15" s="12">
        <f t="shared" si="1"/>
        <v>0.11557542177500153</v>
      </c>
      <c r="Q15" s="4">
        <f>J15/$C$15</f>
        <v>2.3835776809726088</v>
      </c>
      <c r="R15" s="4">
        <f>K15/$C$15</f>
        <v>5.8288371377572625</v>
      </c>
      <c r="S15" s="4">
        <f>L15/$C$15</f>
        <v>7.3961993189099839</v>
      </c>
      <c r="T15" s="4">
        <f>M15/$C$15</f>
        <v>8.7419629865487476</v>
      </c>
      <c r="U15" s="4">
        <f>N15/$C$15</f>
        <v>10.177114856849208</v>
      </c>
      <c r="W15" s="5">
        <f t="shared" si="2"/>
        <v>1.4454152194355294</v>
      </c>
      <c r="X15" s="5">
        <f t="shared" si="3"/>
        <v>0.26889791979258987</v>
      </c>
      <c r="Y15" s="5">
        <f t="shared" si="4"/>
        <v>0.18195340736667651</v>
      </c>
      <c r="Z15" s="5">
        <f t="shared" si="5"/>
        <v>0.16416814764701335</v>
      </c>
    </row>
    <row r="17" spans="10:26" x14ac:dyDescent="0.25">
      <c r="J17">
        <v>294054748</v>
      </c>
      <c r="K17">
        <v>3438767537</v>
      </c>
      <c r="Q17" s="4">
        <f>SUM(J2:J15)/SUM($C$2:$C$15)</f>
        <v>0.97911793047331563</v>
      </c>
      <c r="R17" s="4">
        <f>SUM(K2:K15)/SUM($C$2:$C$15)</f>
        <v>2.0889521507389883</v>
      </c>
      <c r="S17" s="4">
        <f>SUM(L2:L15)/SUM($C$2:$C$15)</f>
        <v>2.5912073850713901</v>
      </c>
      <c r="T17" s="4">
        <f>SUM(M2:M15)/SUM($C$2:$C$15)</f>
        <v>3.1224560624493609</v>
      </c>
      <c r="U17" s="4">
        <f>SUM(N2:N15)/SUM($C$2:$C$15)</f>
        <v>3.6474935297393123</v>
      </c>
      <c r="W17" s="5">
        <f t="shared" ref="W17" si="6">(R17-Q17)/Q17</f>
        <v>1.1335041323665347</v>
      </c>
      <c r="X17" s="5">
        <f t="shared" ref="X17" si="7">(S17-R17)/R17</f>
        <v>0.2404340540565871</v>
      </c>
      <c r="Y17" s="5">
        <f t="shared" ref="Y17" si="8">(T17-S17)/S17</f>
        <v>0.20501974501872391</v>
      </c>
      <c r="Z17" s="5">
        <f t="shared" ref="Z17" si="9">(U17-T17)/T17</f>
        <v>0.16814887280690641</v>
      </c>
    </row>
    <row r="18" spans="10:26" x14ac:dyDescent="0.25">
      <c r="J18" s="13">
        <v>4969958560</v>
      </c>
      <c r="K18" s="13">
        <v>37232487887</v>
      </c>
    </row>
    <row r="19" spans="10:26" x14ac:dyDescent="0.25">
      <c r="J19" s="13">
        <v>72786076</v>
      </c>
      <c r="K19" s="13">
        <v>2025164561</v>
      </c>
    </row>
    <row r="21" spans="10:26" x14ac:dyDescent="0.25">
      <c r="J21" s="13">
        <f>SUM(J17:J19)</f>
        <v>5336799384</v>
      </c>
      <c r="K21" s="13">
        <f>SUM(K17:K19)</f>
        <v>42696419985</v>
      </c>
    </row>
  </sheetData>
  <phoneticPr fontId="5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x14ac:dyDescent="0.25">
      <c r="A2" t="s">
        <v>14</v>
      </c>
      <c r="B2">
        <v>172</v>
      </c>
      <c r="C2">
        <v>22479.75</v>
      </c>
      <c r="D2">
        <v>33684</v>
      </c>
      <c r="E2">
        <v>49625</v>
      </c>
      <c r="F2">
        <v>130</v>
      </c>
      <c r="G2">
        <v>17</v>
      </c>
      <c r="H2">
        <v>16</v>
      </c>
      <c r="I2">
        <v>4</v>
      </c>
      <c r="J2">
        <v>4</v>
      </c>
      <c r="K2">
        <v>1</v>
      </c>
    </row>
    <row r="3" spans="1:11" x14ac:dyDescent="0.25">
      <c r="A3" t="s">
        <v>15</v>
      </c>
      <c r="B3">
        <v>140</v>
      </c>
      <c r="C3">
        <v>28139</v>
      </c>
      <c r="D3">
        <v>60050</v>
      </c>
      <c r="E3">
        <v>118472.75</v>
      </c>
      <c r="F3">
        <v>60</v>
      </c>
      <c r="G3">
        <v>34</v>
      </c>
      <c r="H3">
        <v>32</v>
      </c>
      <c r="I3">
        <v>11</v>
      </c>
      <c r="J3">
        <v>2</v>
      </c>
      <c r="K3">
        <v>1</v>
      </c>
    </row>
    <row r="4" spans="1:11" x14ac:dyDescent="0.25">
      <c r="A4" t="s">
        <v>16</v>
      </c>
      <c r="B4">
        <v>183</v>
      </c>
      <c r="C4">
        <v>28558.5</v>
      </c>
      <c r="D4">
        <v>46205</v>
      </c>
      <c r="E4">
        <v>93362</v>
      </c>
      <c r="F4">
        <v>98</v>
      </c>
      <c r="G4">
        <v>42</v>
      </c>
      <c r="H4">
        <v>38</v>
      </c>
      <c r="I4">
        <v>4</v>
      </c>
      <c r="J4">
        <v>0</v>
      </c>
      <c r="K4">
        <v>1</v>
      </c>
    </row>
    <row r="5" spans="1:11" x14ac:dyDescent="0.25">
      <c r="A5" t="s">
        <v>17</v>
      </c>
      <c r="B5">
        <v>33</v>
      </c>
      <c r="C5">
        <v>21600</v>
      </c>
      <c r="D5">
        <v>38890</v>
      </c>
      <c r="E5">
        <v>60953</v>
      </c>
      <c r="F5">
        <v>21</v>
      </c>
      <c r="G5">
        <v>10</v>
      </c>
      <c r="H5">
        <v>2</v>
      </c>
      <c r="I5">
        <v>0</v>
      </c>
      <c r="J5">
        <v>0</v>
      </c>
      <c r="K5">
        <v>0</v>
      </c>
    </row>
    <row r="6" spans="1:11" x14ac:dyDescent="0.25">
      <c r="A6" t="s">
        <v>18</v>
      </c>
      <c r="B6">
        <v>63</v>
      </c>
      <c r="C6">
        <v>45274</v>
      </c>
      <c r="D6">
        <v>99634</v>
      </c>
      <c r="E6">
        <v>326801.5</v>
      </c>
      <c r="F6">
        <v>19</v>
      </c>
      <c r="G6">
        <v>13</v>
      </c>
      <c r="H6">
        <v>12</v>
      </c>
      <c r="I6">
        <v>14</v>
      </c>
      <c r="J6">
        <v>2</v>
      </c>
      <c r="K6">
        <v>3</v>
      </c>
    </row>
    <row r="7" spans="1:11" x14ac:dyDescent="0.25">
      <c r="A7" t="s">
        <v>19</v>
      </c>
      <c r="B7">
        <v>146</v>
      </c>
      <c r="C7">
        <v>46987.5</v>
      </c>
      <c r="D7">
        <v>81342.5</v>
      </c>
      <c r="E7">
        <v>160267</v>
      </c>
      <c r="F7">
        <v>43</v>
      </c>
      <c r="G7">
        <v>44</v>
      </c>
      <c r="H7">
        <v>36</v>
      </c>
      <c r="I7">
        <v>16</v>
      </c>
      <c r="J7">
        <v>6</v>
      </c>
      <c r="K7">
        <v>1</v>
      </c>
    </row>
    <row r="8" spans="1:11" x14ac:dyDescent="0.25">
      <c r="A8" t="s">
        <v>20</v>
      </c>
      <c r="B8">
        <v>31</v>
      </c>
      <c r="C8">
        <v>38143</v>
      </c>
      <c r="D8">
        <v>52224</v>
      </c>
      <c r="E8">
        <v>74253</v>
      </c>
      <c r="F8">
        <v>15</v>
      </c>
      <c r="G8">
        <v>9</v>
      </c>
      <c r="H8">
        <v>5</v>
      </c>
      <c r="I8">
        <v>1</v>
      </c>
      <c r="J8">
        <v>0</v>
      </c>
      <c r="K8">
        <v>1</v>
      </c>
    </row>
    <row r="9" spans="1:11" x14ac:dyDescent="0.25">
      <c r="A9" t="s">
        <v>21</v>
      </c>
      <c r="B9">
        <v>1367</v>
      </c>
      <c r="C9">
        <v>19955</v>
      </c>
      <c r="D9">
        <v>33000</v>
      </c>
      <c r="E9">
        <v>64154.5</v>
      </c>
      <c r="F9">
        <v>920</v>
      </c>
      <c r="G9">
        <v>218</v>
      </c>
      <c r="H9">
        <v>143</v>
      </c>
      <c r="I9">
        <v>66</v>
      </c>
      <c r="J9">
        <v>18</v>
      </c>
      <c r="K9">
        <v>2</v>
      </c>
    </row>
    <row r="10" spans="1:11" x14ac:dyDescent="0.25">
      <c r="A10" t="s">
        <v>22</v>
      </c>
      <c r="B10">
        <v>448</v>
      </c>
      <c r="C10">
        <v>35042.75</v>
      </c>
      <c r="D10">
        <v>71876</v>
      </c>
      <c r="E10">
        <v>175873.5</v>
      </c>
      <c r="F10">
        <v>173</v>
      </c>
      <c r="G10">
        <v>102</v>
      </c>
      <c r="H10">
        <v>88</v>
      </c>
      <c r="I10">
        <v>32</v>
      </c>
      <c r="J10">
        <v>38</v>
      </c>
      <c r="K10">
        <v>15</v>
      </c>
    </row>
    <row r="11" spans="1:11" x14ac:dyDescent="0.25">
      <c r="A11" t="s">
        <v>23</v>
      </c>
      <c r="B11">
        <v>48</v>
      </c>
      <c r="C11">
        <v>20870.25</v>
      </c>
      <c r="D11">
        <v>26307.5</v>
      </c>
      <c r="E11">
        <v>56277</v>
      </c>
      <c r="F11">
        <v>33</v>
      </c>
      <c r="G11">
        <v>8</v>
      </c>
      <c r="H11">
        <v>1</v>
      </c>
      <c r="I11">
        <v>5</v>
      </c>
      <c r="J11">
        <v>1</v>
      </c>
      <c r="K11">
        <v>0</v>
      </c>
    </row>
    <row r="12" spans="1:11" x14ac:dyDescent="0.25">
      <c r="A12" t="s">
        <v>24</v>
      </c>
      <c r="B12">
        <v>51</v>
      </c>
      <c r="C12">
        <v>28096</v>
      </c>
      <c r="D12">
        <v>41060</v>
      </c>
      <c r="E12">
        <v>73577</v>
      </c>
      <c r="F12">
        <v>33</v>
      </c>
      <c r="G12">
        <v>9</v>
      </c>
      <c r="H12">
        <v>8</v>
      </c>
      <c r="I12">
        <v>0</v>
      </c>
      <c r="J12">
        <v>1</v>
      </c>
      <c r="K12">
        <v>0</v>
      </c>
    </row>
    <row r="13" spans="1:11" x14ac:dyDescent="0.25">
      <c r="A13" t="s">
        <v>25</v>
      </c>
      <c r="B13">
        <v>145</v>
      </c>
      <c r="C13">
        <v>9940</v>
      </c>
      <c r="D13">
        <v>15000</v>
      </c>
      <c r="E13">
        <v>28555</v>
      </c>
      <c r="F13">
        <v>125</v>
      </c>
      <c r="G13">
        <v>8</v>
      </c>
      <c r="H13">
        <v>4</v>
      </c>
      <c r="I13">
        <v>6</v>
      </c>
      <c r="J13">
        <v>2</v>
      </c>
      <c r="K13">
        <v>0</v>
      </c>
    </row>
    <row r="14" spans="1:11" x14ac:dyDescent="0.25">
      <c r="A14" t="s">
        <v>26</v>
      </c>
      <c r="B14">
        <v>96</v>
      </c>
      <c r="C14">
        <v>25375</v>
      </c>
      <c r="D14">
        <v>63131</v>
      </c>
      <c r="E14">
        <v>130475</v>
      </c>
      <c r="F14">
        <v>41</v>
      </c>
      <c r="G14">
        <v>20</v>
      </c>
      <c r="H14">
        <v>29</v>
      </c>
      <c r="I14">
        <v>5</v>
      </c>
      <c r="J14">
        <v>1</v>
      </c>
      <c r="K14">
        <v>0</v>
      </c>
    </row>
    <row r="15" spans="1:11" x14ac:dyDescent="0.25">
      <c r="A15" t="s">
        <v>27</v>
      </c>
      <c r="B15">
        <v>61</v>
      </c>
      <c r="C15">
        <v>83556</v>
      </c>
      <c r="D15">
        <v>136368</v>
      </c>
      <c r="E15">
        <v>275898</v>
      </c>
      <c r="F15">
        <v>10</v>
      </c>
      <c r="G15">
        <v>6</v>
      </c>
      <c r="H15">
        <v>27</v>
      </c>
      <c r="I15">
        <v>11</v>
      </c>
      <c r="J15">
        <v>6</v>
      </c>
      <c r="K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x14ac:dyDescent="0.25">
      <c r="A2" t="s">
        <v>14</v>
      </c>
      <c r="B2">
        <v>172</v>
      </c>
      <c r="C2">
        <v>41.9</v>
      </c>
      <c r="D2">
        <v>70.3</v>
      </c>
      <c r="E2">
        <v>118.425</v>
      </c>
      <c r="F2">
        <v>13</v>
      </c>
      <c r="G2">
        <v>25</v>
      </c>
      <c r="H2">
        <v>34</v>
      </c>
      <c r="I2">
        <v>28</v>
      </c>
      <c r="J2">
        <v>15</v>
      </c>
      <c r="K2">
        <v>28</v>
      </c>
      <c r="L2">
        <v>24</v>
      </c>
      <c r="M2">
        <v>5</v>
      </c>
      <c r="N2">
        <v>0</v>
      </c>
    </row>
    <row r="3" spans="1:14" x14ac:dyDescent="0.25">
      <c r="A3" t="s">
        <v>15</v>
      </c>
      <c r="B3">
        <v>140</v>
      </c>
      <c r="C3">
        <v>47.35</v>
      </c>
      <c r="D3">
        <v>71.55</v>
      </c>
      <c r="E3">
        <v>116.97499999999999</v>
      </c>
      <c r="F3">
        <v>11</v>
      </c>
      <c r="G3">
        <v>14</v>
      </c>
      <c r="H3">
        <v>23</v>
      </c>
      <c r="I3">
        <v>29</v>
      </c>
      <c r="J3">
        <v>22</v>
      </c>
      <c r="K3">
        <v>18</v>
      </c>
      <c r="L3">
        <v>19</v>
      </c>
      <c r="M3">
        <v>2</v>
      </c>
      <c r="N3">
        <v>1</v>
      </c>
    </row>
    <row r="4" spans="1:14" x14ac:dyDescent="0.25">
      <c r="A4" t="s">
        <v>16</v>
      </c>
      <c r="B4">
        <v>183</v>
      </c>
      <c r="C4">
        <v>53.8</v>
      </c>
      <c r="D4">
        <v>71.7</v>
      </c>
      <c r="E4">
        <v>87.05</v>
      </c>
      <c r="F4">
        <v>7</v>
      </c>
      <c r="G4">
        <v>12</v>
      </c>
      <c r="H4">
        <v>44</v>
      </c>
      <c r="I4">
        <v>50</v>
      </c>
      <c r="J4">
        <v>45</v>
      </c>
      <c r="K4">
        <v>24</v>
      </c>
      <c r="L4">
        <v>1</v>
      </c>
      <c r="M4">
        <v>0</v>
      </c>
      <c r="N4">
        <v>0</v>
      </c>
    </row>
    <row r="5" spans="1:14" x14ac:dyDescent="0.25">
      <c r="A5" t="s">
        <v>17</v>
      </c>
      <c r="B5">
        <v>33</v>
      </c>
      <c r="C5">
        <v>158.4</v>
      </c>
      <c r="D5">
        <v>205.9</v>
      </c>
      <c r="E5">
        <v>280.2</v>
      </c>
      <c r="F5">
        <v>0</v>
      </c>
      <c r="G5">
        <v>0</v>
      </c>
      <c r="H5">
        <v>0</v>
      </c>
      <c r="I5">
        <v>1</v>
      </c>
      <c r="J5">
        <v>1</v>
      </c>
      <c r="K5">
        <v>4</v>
      </c>
      <c r="L5">
        <v>15</v>
      </c>
      <c r="M5">
        <v>11</v>
      </c>
      <c r="N5">
        <v>0</v>
      </c>
    </row>
    <row r="6" spans="1:14" x14ac:dyDescent="0.25">
      <c r="A6" t="s">
        <v>18</v>
      </c>
      <c r="B6">
        <v>63</v>
      </c>
      <c r="C6">
        <v>85.3</v>
      </c>
      <c r="D6">
        <v>133.30000000000001</v>
      </c>
      <c r="E6">
        <v>315.8</v>
      </c>
      <c r="F6">
        <v>3</v>
      </c>
      <c r="G6">
        <v>0</v>
      </c>
      <c r="H6">
        <v>5</v>
      </c>
      <c r="I6">
        <v>6</v>
      </c>
      <c r="J6">
        <v>6</v>
      </c>
      <c r="K6">
        <v>14</v>
      </c>
      <c r="L6">
        <v>8</v>
      </c>
      <c r="M6">
        <v>21</v>
      </c>
      <c r="N6">
        <v>0</v>
      </c>
    </row>
    <row r="7" spans="1:14" x14ac:dyDescent="0.25">
      <c r="A7" t="s">
        <v>19</v>
      </c>
      <c r="B7">
        <v>146</v>
      </c>
      <c r="C7">
        <v>57.075000000000003</v>
      </c>
      <c r="D7">
        <v>78.400000000000006</v>
      </c>
      <c r="E7">
        <v>101.75</v>
      </c>
      <c r="F7">
        <v>3</v>
      </c>
      <c r="G7">
        <v>11</v>
      </c>
      <c r="H7">
        <v>27</v>
      </c>
      <c r="I7">
        <v>33</v>
      </c>
      <c r="J7">
        <v>31</v>
      </c>
      <c r="K7">
        <v>34</v>
      </c>
      <c r="L7">
        <v>5</v>
      </c>
      <c r="M7">
        <v>1</v>
      </c>
      <c r="N7">
        <v>0</v>
      </c>
    </row>
    <row r="8" spans="1:14" x14ac:dyDescent="0.25">
      <c r="A8" t="s">
        <v>20</v>
      </c>
      <c r="B8">
        <v>31</v>
      </c>
      <c r="C8">
        <v>34.25</v>
      </c>
      <c r="D8">
        <v>62.5</v>
      </c>
      <c r="E8">
        <v>141.69999999999999</v>
      </c>
      <c r="F8">
        <v>3</v>
      </c>
      <c r="G8">
        <v>7</v>
      </c>
      <c r="H8">
        <v>5</v>
      </c>
      <c r="I8">
        <v>5</v>
      </c>
      <c r="J8">
        <v>0</v>
      </c>
      <c r="K8">
        <v>4</v>
      </c>
      <c r="L8">
        <v>2</v>
      </c>
      <c r="M8">
        <v>2</v>
      </c>
      <c r="N8">
        <v>3</v>
      </c>
    </row>
    <row r="9" spans="1:14" x14ac:dyDescent="0.25">
      <c r="A9" t="s">
        <v>21</v>
      </c>
      <c r="B9">
        <v>1367</v>
      </c>
      <c r="C9">
        <v>42.25</v>
      </c>
      <c r="D9">
        <v>59</v>
      </c>
      <c r="E9">
        <v>77.150000000000006</v>
      </c>
      <c r="F9">
        <v>73</v>
      </c>
      <c r="G9">
        <v>235</v>
      </c>
      <c r="H9">
        <v>393</v>
      </c>
      <c r="I9">
        <v>366</v>
      </c>
      <c r="J9">
        <v>156</v>
      </c>
      <c r="K9">
        <v>108</v>
      </c>
      <c r="L9">
        <v>32</v>
      </c>
      <c r="M9">
        <v>2</v>
      </c>
      <c r="N9">
        <v>1</v>
      </c>
    </row>
    <row r="10" spans="1:14" x14ac:dyDescent="0.25">
      <c r="A10" t="s">
        <v>22</v>
      </c>
      <c r="B10">
        <v>448</v>
      </c>
      <c r="C10">
        <v>42.375</v>
      </c>
      <c r="D10">
        <v>55.849999999999987</v>
      </c>
      <c r="E10">
        <v>76.475000000000009</v>
      </c>
      <c r="F10">
        <v>14</v>
      </c>
      <c r="G10">
        <v>76</v>
      </c>
      <c r="H10">
        <v>161</v>
      </c>
      <c r="I10">
        <v>100</v>
      </c>
      <c r="J10">
        <v>50</v>
      </c>
      <c r="K10">
        <v>33</v>
      </c>
      <c r="L10">
        <v>11</v>
      </c>
      <c r="M10">
        <v>2</v>
      </c>
      <c r="N10">
        <v>0</v>
      </c>
    </row>
    <row r="11" spans="1:14" x14ac:dyDescent="0.25">
      <c r="A11" t="s">
        <v>23</v>
      </c>
      <c r="B11">
        <v>48</v>
      </c>
      <c r="C11">
        <v>44.7</v>
      </c>
      <c r="D11">
        <v>66</v>
      </c>
      <c r="E11">
        <v>110.625</v>
      </c>
      <c r="F11">
        <v>3</v>
      </c>
      <c r="G11">
        <v>8</v>
      </c>
      <c r="H11">
        <v>10</v>
      </c>
      <c r="I11">
        <v>7</v>
      </c>
      <c r="J11">
        <v>6</v>
      </c>
      <c r="K11">
        <v>8</v>
      </c>
      <c r="L11">
        <v>6</v>
      </c>
      <c r="M11">
        <v>0</v>
      </c>
      <c r="N11">
        <v>0</v>
      </c>
    </row>
    <row r="12" spans="1:14" x14ac:dyDescent="0.25">
      <c r="A12" t="s">
        <v>24</v>
      </c>
      <c r="B12">
        <v>51</v>
      </c>
      <c r="C12">
        <v>46</v>
      </c>
      <c r="D12">
        <v>57.5</v>
      </c>
      <c r="E12">
        <v>92.95</v>
      </c>
      <c r="F12">
        <v>0</v>
      </c>
      <c r="G12">
        <v>10</v>
      </c>
      <c r="H12">
        <v>19</v>
      </c>
      <c r="I12">
        <v>5</v>
      </c>
      <c r="J12">
        <v>8</v>
      </c>
      <c r="K12">
        <v>5</v>
      </c>
      <c r="L12">
        <v>2</v>
      </c>
      <c r="M12">
        <v>2</v>
      </c>
      <c r="N12">
        <v>0</v>
      </c>
    </row>
    <row r="13" spans="1:14" x14ac:dyDescent="0.25">
      <c r="A13" t="s">
        <v>25</v>
      </c>
      <c r="B13">
        <v>145</v>
      </c>
      <c r="C13">
        <v>61.1</v>
      </c>
      <c r="D13">
        <v>91.3</v>
      </c>
      <c r="E13">
        <v>124.5</v>
      </c>
      <c r="F13">
        <v>8</v>
      </c>
      <c r="G13">
        <v>8</v>
      </c>
      <c r="H13">
        <v>20</v>
      </c>
      <c r="I13">
        <v>26</v>
      </c>
      <c r="J13">
        <v>24</v>
      </c>
      <c r="K13">
        <v>36</v>
      </c>
      <c r="L13">
        <v>17</v>
      </c>
      <c r="M13">
        <v>5</v>
      </c>
      <c r="N13">
        <v>1</v>
      </c>
    </row>
    <row r="14" spans="1:14" x14ac:dyDescent="0.25">
      <c r="A14" t="s">
        <v>26</v>
      </c>
      <c r="B14">
        <v>96</v>
      </c>
      <c r="C14">
        <v>13.95</v>
      </c>
      <c r="D14">
        <v>35.25</v>
      </c>
      <c r="E14">
        <v>66.599999999999994</v>
      </c>
      <c r="F14">
        <v>33</v>
      </c>
      <c r="G14">
        <v>21</v>
      </c>
      <c r="H14">
        <v>15</v>
      </c>
      <c r="I14">
        <v>9</v>
      </c>
      <c r="J14">
        <v>5</v>
      </c>
      <c r="K14">
        <v>6</v>
      </c>
      <c r="L14">
        <v>4</v>
      </c>
      <c r="M14">
        <v>0</v>
      </c>
      <c r="N14">
        <v>2</v>
      </c>
    </row>
    <row r="15" spans="1:14" x14ac:dyDescent="0.25">
      <c r="A15" t="s">
        <v>27</v>
      </c>
      <c r="B15">
        <v>61</v>
      </c>
      <c r="C15">
        <v>158.6</v>
      </c>
      <c r="D15">
        <v>213.2</v>
      </c>
      <c r="E15">
        <v>311.10000000000002</v>
      </c>
      <c r="F15">
        <v>0</v>
      </c>
      <c r="G15">
        <v>0</v>
      </c>
      <c r="H15">
        <v>1</v>
      </c>
      <c r="I15">
        <v>1</v>
      </c>
      <c r="J15">
        <v>4</v>
      </c>
      <c r="K15">
        <v>6</v>
      </c>
      <c r="L15">
        <v>24</v>
      </c>
      <c r="M15">
        <v>23</v>
      </c>
      <c r="N15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e9914-c092-4200-a7d8-cc85a6bef288">
      <Terms xmlns="http://schemas.microsoft.com/office/infopath/2007/PartnerControls"/>
    </lcf76f155ced4ddcb4097134ff3c332f>
    <TaxCatchAll xmlns="afc29c3b-9522-4360-ba9d-c1dc5ac90a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93C970-D4C3-4D53-B657-23DE1AB0C65C}">
  <ds:schemaRefs>
    <ds:schemaRef ds:uri="http://schemas.microsoft.com/office/2006/metadata/properties"/>
    <ds:schemaRef ds:uri="http://schemas.microsoft.com/office/infopath/2007/PartnerControls"/>
    <ds:schemaRef ds:uri="d4fe9914-c092-4200-a7d8-cc85a6bef288"/>
    <ds:schemaRef ds:uri="afc29c3b-9522-4360-ba9d-c1dc5ac90a19"/>
  </ds:schemaRefs>
</ds:datastoreItem>
</file>

<file path=customXml/itemProps2.xml><?xml version="1.0" encoding="utf-8"?>
<ds:datastoreItem xmlns:ds="http://schemas.openxmlformats.org/officeDocument/2006/customXml" ds:itemID="{6686991D-7C5B-4565-AAA8-72C934DF59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e9914-c092-4200-a7d8-cc85a6bef288"/>
    <ds:schemaRef ds:uri="afc29c3b-9522-4360-ba9d-c1dc5ac90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1EE003-CEE9-402B-8A7F-53E170F8EC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with Graphs</vt:lpstr>
      <vt:lpstr>Building Type Summary</vt:lpstr>
      <vt:lpstr>GFA Summary</vt:lpstr>
      <vt:lpstr>EUI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Donohue</cp:lastModifiedBy>
  <dcterms:created xsi:type="dcterms:W3CDTF">2024-09-03T18:34:34Z</dcterms:created>
  <dcterms:modified xsi:type="dcterms:W3CDTF">2024-09-17T19:58:07Z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  <property fmtid="{D5CDD505-2E9C-101B-9397-08002B2CF9AE}" pid="3" name="MediaServiceImageTags">
    <vt:lpwstr/>
  </property>
</Properties>
</file>