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envienstudio.sharepoint.com/Shared Documents/Potential/DOE RD Submission/3 - Market Research/doe-SBIR-research-project/data-files/0-for_narrative/"/>
    </mc:Choice>
  </mc:AlternateContent>
  <xr:revisionPtr revIDLastSave="92" documentId="11_0369113A6A33EC3F377FD674BEF4CBCFFBF13BBE" xr6:coauthVersionLast="47" xr6:coauthVersionMax="47" xr10:uidLastSave="{CA64A25F-74C9-4940-A92F-FAA368225ECD}"/>
  <bookViews>
    <workbookView minimized="1" xWindow="4665" yWindow="2115" windowWidth="21600" windowHeight="11295" activeTab="1" xr2:uid="{00000000-000D-0000-FFFF-FFFF00000000}"/>
  </bookViews>
  <sheets>
    <sheet name="Summary with Graphs" sheetId="1" r:id="rId1"/>
    <sheet name="Building Type Summary" sheetId="2" r:id="rId2"/>
    <sheet name="GFA Summary" sheetId="3" r:id="rId3"/>
    <sheet name="EUI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9" i="2" l="1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" i="2"/>
  <c r="R22" i="2"/>
  <c r="X22" i="2" s="1"/>
  <c r="S22" i="2"/>
  <c r="T22" i="2"/>
  <c r="U22" i="2"/>
  <c r="V22" i="2"/>
  <c r="AA22" i="2" s="1"/>
  <c r="Y22" i="2"/>
  <c r="Z22" i="2"/>
  <c r="X45" i="2"/>
  <c r="Y40" i="2"/>
  <c r="Z38" i="2"/>
  <c r="AA36" i="2"/>
  <c r="X36" i="2"/>
  <c r="AA29" i="2"/>
  <c r="Y26" i="2"/>
  <c r="X25" i="2"/>
  <c r="Y21" i="2"/>
  <c r="Y16" i="2"/>
  <c r="Z16" i="2"/>
  <c r="R16" i="2"/>
  <c r="S16" i="2"/>
  <c r="T16" i="2"/>
  <c r="U16" i="2"/>
  <c r="V16" i="2"/>
  <c r="AA16" i="2" s="1"/>
  <c r="R18" i="2"/>
  <c r="S18" i="2"/>
  <c r="T18" i="2"/>
  <c r="Z18" i="2" s="1"/>
  <c r="U18" i="2"/>
  <c r="V18" i="2"/>
  <c r="AA18" i="2" s="1"/>
  <c r="R19" i="2"/>
  <c r="S19" i="2"/>
  <c r="T19" i="2"/>
  <c r="Y19" i="2" s="1"/>
  <c r="U19" i="2"/>
  <c r="Z19" i="2" s="1"/>
  <c r="V19" i="2"/>
  <c r="R20" i="2"/>
  <c r="S20" i="2"/>
  <c r="X20" i="2" s="1"/>
  <c r="T20" i="2"/>
  <c r="Y20" i="2" s="1"/>
  <c r="U20" i="2"/>
  <c r="AA20" i="2" s="1"/>
  <c r="V20" i="2"/>
  <c r="R21" i="2"/>
  <c r="S21" i="2"/>
  <c r="T21" i="2"/>
  <c r="U21" i="2"/>
  <c r="Z21" i="2" s="1"/>
  <c r="V21" i="2"/>
  <c r="AA21" i="2" s="1"/>
  <c r="R23" i="2"/>
  <c r="S23" i="2"/>
  <c r="X23" i="2" s="1"/>
  <c r="T23" i="2"/>
  <c r="U23" i="2"/>
  <c r="Z23" i="2" s="1"/>
  <c r="V23" i="2"/>
  <c r="AA23" i="2" s="1"/>
  <c r="R24" i="2"/>
  <c r="S24" i="2"/>
  <c r="T24" i="2"/>
  <c r="Y24" i="2" s="1"/>
  <c r="U24" i="2"/>
  <c r="Z24" i="2" s="1"/>
  <c r="V24" i="2"/>
  <c r="R25" i="2"/>
  <c r="S25" i="2"/>
  <c r="T25" i="2"/>
  <c r="Y25" i="2" s="1"/>
  <c r="U25" i="2"/>
  <c r="Z25" i="2" s="1"/>
  <c r="V25" i="2"/>
  <c r="R26" i="2"/>
  <c r="S26" i="2"/>
  <c r="T26" i="2"/>
  <c r="U26" i="2"/>
  <c r="Z26" i="2" s="1"/>
  <c r="V26" i="2"/>
  <c r="AA26" i="2" s="1"/>
  <c r="R29" i="2"/>
  <c r="S29" i="2"/>
  <c r="T29" i="2"/>
  <c r="Z29" i="2" s="1"/>
  <c r="U29" i="2"/>
  <c r="V29" i="2"/>
  <c r="R30" i="2"/>
  <c r="S30" i="2"/>
  <c r="T30" i="2"/>
  <c r="Y30" i="2" s="1"/>
  <c r="U30" i="2"/>
  <c r="Z30" i="2" s="1"/>
  <c r="V30" i="2"/>
  <c r="R32" i="2"/>
  <c r="S32" i="2"/>
  <c r="T32" i="2"/>
  <c r="Y32" i="2" s="1"/>
  <c r="U32" i="2"/>
  <c r="Z32" i="2" s="1"/>
  <c r="V32" i="2"/>
  <c r="R33" i="2"/>
  <c r="X33" i="2" s="1"/>
  <c r="S33" i="2"/>
  <c r="T33" i="2"/>
  <c r="Y33" i="2" s="1"/>
  <c r="U33" i="2"/>
  <c r="Z33" i="2" s="1"/>
  <c r="V33" i="2"/>
  <c r="AA33" i="2" s="1"/>
  <c r="R35" i="2"/>
  <c r="S35" i="2"/>
  <c r="T35" i="2"/>
  <c r="U35" i="2"/>
  <c r="V35" i="2"/>
  <c r="AA35" i="2" s="1"/>
  <c r="R36" i="2"/>
  <c r="S36" i="2"/>
  <c r="T36" i="2"/>
  <c r="Y36" i="2" s="1"/>
  <c r="U36" i="2"/>
  <c r="Z36" i="2" s="1"/>
  <c r="V36" i="2"/>
  <c r="R37" i="2"/>
  <c r="S37" i="2"/>
  <c r="T37" i="2"/>
  <c r="Y37" i="2" s="1"/>
  <c r="U37" i="2"/>
  <c r="Z37" i="2" s="1"/>
  <c r="V37" i="2"/>
  <c r="R38" i="2"/>
  <c r="S38" i="2"/>
  <c r="T38" i="2"/>
  <c r="U38" i="2"/>
  <c r="V38" i="2"/>
  <c r="AA38" i="2" s="1"/>
  <c r="R39" i="2"/>
  <c r="S39" i="2"/>
  <c r="T39" i="2"/>
  <c r="Z39" i="2" s="1"/>
  <c r="U39" i="2"/>
  <c r="V39" i="2"/>
  <c r="AA39" i="2" s="1"/>
  <c r="R40" i="2"/>
  <c r="S40" i="2"/>
  <c r="T40" i="2"/>
  <c r="U40" i="2"/>
  <c r="Z40" i="2" s="1"/>
  <c r="V40" i="2"/>
  <c r="R41" i="2"/>
  <c r="S41" i="2"/>
  <c r="X41" i="2" s="1"/>
  <c r="T41" i="2"/>
  <c r="Y41" i="2" s="1"/>
  <c r="U41" i="2"/>
  <c r="Z41" i="2" s="1"/>
  <c r="V41" i="2"/>
  <c r="R42" i="2"/>
  <c r="S42" i="2"/>
  <c r="T42" i="2"/>
  <c r="Y42" i="2" s="1"/>
  <c r="U42" i="2"/>
  <c r="Z42" i="2" s="1"/>
  <c r="V42" i="2"/>
  <c r="AA42" i="2" s="1"/>
  <c r="R43" i="2"/>
  <c r="S43" i="2"/>
  <c r="T43" i="2"/>
  <c r="U43" i="2"/>
  <c r="Z43" i="2" s="1"/>
  <c r="V43" i="2"/>
  <c r="AA43" i="2" s="1"/>
  <c r="R44" i="2"/>
  <c r="S44" i="2"/>
  <c r="T44" i="2"/>
  <c r="Y44" i="2" s="1"/>
  <c r="U44" i="2"/>
  <c r="Z44" i="2" s="1"/>
  <c r="V44" i="2"/>
  <c r="R45" i="2"/>
  <c r="S45" i="2"/>
  <c r="T45" i="2"/>
  <c r="Y45" i="2" s="1"/>
  <c r="U45" i="2"/>
  <c r="Z45" i="2" s="1"/>
  <c r="V45" i="2"/>
  <c r="R46" i="2"/>
  <c r="S46" i="2"/>
  <c r="T46" i="2"/>
  <c r="Y46" i="2" s="1"/>
  <c r="U46" i="2"/>
  <c r="Z46" i="2" s="1"/>
  <c r="V46" i="2"/>
  <c r="AA46" i="2" s="1"/>
  <c r="R47" i="2"/>
  <c r="S47" i="2"/>
  <c r="T47" i="2"/>
  <c r="Y47" i="2" s="1"/>
  <c r="U47" i="2"/>
  <c r="V47" i="2"/>
  <c r="AA47" i="2" s="1"/>
  <c r="R48" i="2"/>
  <c r="S48" i="2"/>
  <c r="T48" i="2"/>
  <c r="Y48" i="2" s="1"/>
  <c r="U48" i="2"/>
  <c r="Z48" i="2" s="1"/>
  <c r="V48" i="2"/>
  <c r="R49" i="2"/>
  <c r="S49" i="2"/>
  <c r="X49" i="2" s="1"/>
  <c r="T49" i="2"/>
  <c r="Y49" i="2" s="1"/>
  <c r="U49" i="2"/>
  <c r="Z49" i="2" s="1"/>
  <c r="V49" i="2"/>
  <c r="R2" i="2"/>
  <c r="V51" i="2"/>
  <c r="U51" i="2"/>
  <c r="T51" i="2"/>
  <c r="S51" i="2"/>
  <c r="R51" i="2"/>
  <c r="V15" i="2"/>
  <c r="AA15" i="2" s="1"/>
  <c r="U15" i="2"/>
  <c r="T15" i="2"/>
  <c r="Y15" i="2" s="1"/>
  <c r="S15" i="2"/>
  <c r="R15" i="2"/>
  <c r="X15" i="2" s="1"/>
  <c r="V14" i="2"/>
  <c r="U14" i="2"/>
  <c r="T14" i="2"/>
  <c r="S14" i="2"/>
  <c r="R14" i="2"/>
  <c r="AA13" i="2"/>
  <c r="X13" i="2"/>
  <c r="V13" i="2"/>
  <c r="U13" i="2"/>
  <c r="Z13" i="2" s="1"/>
  <c r="T13" i="2"/>
  <c r="S13" i="2"/>
  <c r="R13" i="2"/>
  <c r="V12" i="2"/>
  <c r="U12" i="2"/>
  <c r="T12" i="2"/>
  <c r="S12" i="2"/>
  <c r="R12" i="2"/>
  <c r="V11" i="2"/>
  <c r="AA11" i="2" s="1"/>
  <c r="U11" i="2"/>
  <c r="T11" i="2"/>
  <c r="S11" i="2"/>
  <c r="R11" i="2"/>
  <c r="V10" i="2"/>
  <c r="U10" i="2"/>
  <c r="T10" i="2"/>
  <c r="S10" i="2"/>
  <c r="R10" i="2"/>
  <c r="V9" i="2"/>
  <c r="U9" i="2"/>
  <c r="Z9" i="2" s="1"/>
  <c r="T9" i="2"/>
  <c r="S9" i="2"/>
  <c r="R9" i="2"/>
  <c r="V8" i="2"/>
  <c r="U8" i="2"/>
  <c r="T8" i="2"/>
  <c r="S8" i="2"/>
  <c r="R8" i="2"/>
  <c r="V7" i="2"/>
  <c r="U7" i="2"/>
  <c r="T7" i="2"/>
  <c r="S7" i="2"/>
  <c r="R7" i="2"/>
  <c r="V6" i="2"/>
  <c r="U6" i="2"/>
  <c r="T6" i="2"/>
  <c r="S6" i="2"/>
  <c r="R6" i="2"/>
  <c r="V5" i="2"/>
  <c r="U5" i="2"/>
  <c r="Z5" i="2" s="1"/>
  <c r="T5" i="2"/>
  <c r="S5" i="2"/>
  <c r="R5" i="2"/>
  <c r="V4" i="2"/>
  <c r="U4" i="2"/>
  <c r="T4" i="2"/>
  <c r="S4" i="2"/>
  <c r="R4" i="2"/>
  <c r="V2" i="2"/>
  <c r="U2" i="2"/>
  <c r="AA2" i="2" s="1"/>
  <c r="T2" i="2"/>
  <c r="Y2" i="2" s="1"/>
  <c r="S2" i="2"/>
  <c r="Y35" i="2" l="1"/>
  <c r="Z12" i="2"/>
  <c r="Y29" i="2"/>
  <c r="Y43" i="2"/>
  <c r="Z4" i="2"/>
  <c r="AA4" i="2"/>
  <c r="AA12" i="2"/>
  <c r="Y5" i="2"/>
  <c r="Y9" i="2"/>
  <c r="Y13" i="2"/>
  <c r="AA51" i="2"/>
  <c r="X42" i="2"/>
  <c r="Y38" i="2"/>
  <c r="X26" i="2"/>
  <c r="X16" i="2"/>
  <c r="Y18" i="2"/>
  <c r="Y39" i="2"/>
  <c r="AA49" i="2"/>
  <c r="AA45" i="2"/>
  <c r="AA41" i="2"/>
  <c r="AA37" i="2"/>
  <c r="AA32" i="2"/>
  <c r="AA25" i="2"/>
  <c r="AA48" i="2"/>
  <c r="AA44" i="2"/>
  <c r="AA40" i="2"/>
  <c r="AA30" i="2"/>
  <c r="AA24" i="2"/>
  <c r="AA19" i="2"/>
  <c r="Z20" i="2"/>
  <c r="AA14" i="2"/>
  <c r="Y7" i="2"/>
  <c r="Y11" i="2"/>
  <c r="X7" i="2"/>
  <c r="Z2" i="2"/>
  <c r="Z11" i="2"/>
  <c r="Y8" i="2"/>
  <c r="X6" i="2"/>
  <c r="Z15" i="2"/>
  <c r="Z47" i="2"/>
  <c r="Z35" i="2"/>
  <c r="Z7" i="2"/>
  <c r="Y4" i="2"/>
  <c r="Z14" i="2"/>
  <c r="X18" i="2"/>
  <c r="X14" i="2"/>
  <c r="X35" i="2"/>
  <c r="X12" i="2"/>
  <c r="Y12" i="2"/>
  <c r="X4" i="2"/>
  <c r="AA8" i="2"/>
  <c r="AA7" i="2"/>
  <c r="Y14" i="2"/>
  <c r="Z8" i="2"/>
  <c r="AA5" i="2"/>
  <c r="Y23" i="2"/>
  <c r="AA9" i="2"/>
  <c r="Y6" i="2"/>
  <c r="Z6" i="2"/>
  <c r="X51" i="2"/>
  <c r="AA6" i="2"/>
  <c r="Y51" i="2"/>
  <c r="AA10" i="2"/>
  <c r="Z51" i="2"/>
  <c r="X38" i="2"/>
  <c r="X10" i="2"/>
  <c r="Y10" i="2"/>
  <c r="X43" i="2"/>
  <c r="Z10" i="2"/>
</calcChain>
</file>

<file path=xl/sharedStrings.xml><?xml version="1.0" encoding="utf-8"?>
<sst xmlns="http://schemas.openxmlformats.org/spreadsheetml/2006/main" count="192" uniqueCount="90">
  <si>
    <t>Primary Property Type - Self Selected</t>
  </si>
  <si>
    <t>total_count</t>
  </si>
  <si>
    <t>total_gfa</t>
  </si>
  <si>
    <t>total_ghg</t>
  </si>
  <si>
    <t>percentage_of_total_buildings</t>
  </si>
  <si>
    <t>percentage_of_total_gfa</t>
  </si>
  <si>
    <t>percentage_of_total_ghg</t>
  </si>
  <si>
    <t>percent_of_city_wide_ghg</t>
  </si>
  <si>
    <t>percent_of_building_sector_ghg</t>
  </si>
  <si>
    <t>Total Fines</t>
  </si>
  <si>
    <t>Total Fines_2030_2034</t>
  </si>
  <si>
    <t>Total Fines_2035_2039</t>
  </si>
  <si>
    <t>Total Fines_2040_2044</t>
  </si>
  <si>
    <t>Total Fines_2045_2049</t>
  </si>
  <si>
    <t>Automobile Dealership</t>
  </si>
  <si>
    <t>Bank Branch</t>
  </si>
  <si>
    <t>College/University</t>
  </si>
  <si>
    <t>Data Center</t>
  </si>
  <si>
    <t>Drinking Water Treatment &amp; Distribution</t>
  </si>
  <si>
    <t>Enclosed Mall</t>
  </si>
  <si>
    <t>Financial Office</t>
  </si>
  <si>
    <t>Fire Station</t>
  </si>
  <si>
    <t>Fitness Center/Health Club/Gym</t>
  </si>
  <si>
    <t>Food Service</t>
  </si>
  <si>
    <t>Hospital (General Medical &amp; Surgical)</t>
  </si>
  <si>
    <t>Hotel</t>
  </si>
  <si>
    <t>K-12 School</t>
  </si>
  <si>
    <t>Laboratory</t>
  </si>
  <si>
    <t>Library</t>
  </si>
  <si>
    <t>Mailing Center/Post Office</t>
  </si>
  <si>
    <t>Manufacturing/Industrial Plant</t>
  </si>
  <si>
    <t>Medical Office</t>
  </si>
  <si>
    <t>Mixed Use Property</t>
  </si>
  <si>
    <t>Movie Theater</t>
  </si>
  <si>
    <t>Multifamily Housing</t>
  </si>
  <si>
    <t>Museum</t>
  </si>
  <si>
    <t>Non-Refrigerated Warehouse</t>
  </si>
  <si>
    <t>Office</t>
  </si>
  <si>
    <t>Other</t>
  </si>
  <si>
    <t>Other - Lodging/Residential</t>
  </si>
  <si>
    <t>Other - Mall</t>
  </si>
  <si>
    <t>Other - Public Services</t>
  </si>
  <si>
    <t>Other - Recreation</t>
  </si>
  <si>
    <t>Other - Restaurant/Bar</t>
  </si>
  <si>
    <t>Other - Services</t>
  </si>
  <si>
    <t>Other - Technology/Science</t>
  </si>
  <si>
    <t>Outpatient Rehabilitation/Physical Therapy</t>
  </si>
  <si>
    <t>Parking</t>
  </si>
  <si>
    <t>Police Station</t>
  </si>
  <si>
    <t>Pre-school/Daycare</t>
  </si>
  <si>
    <t>Residence Hall/Dormitory</t>
  </si>
  <si>
    <t>Residential Care Facility</t>
  </si>
  <si>
    <t>Restaurant</t>
  </si>
  <si>
    <t>Retail Store</t>
  </si>
  <si>
    <t>Self-Storage Facility</t>
  </si>
  <si>
    <t>Senior Living Community</t>
  </si>
  <si>
    <t>Social/Meeting Hall</t>
  </si>
  <si>
    <t>Strip Mall</t>
  </si>
  <si>
    <t>Supermarket/Grocery Store</t>
  </si>
  <si>
    <t>Urgent Care/Clinic/Other Outpatient</t>
  </si>
  <si>
    <t>Vocational School</t>
  </si>
  <si>
    <t>Worship Facility</t>
  </si>
  <si>
    <t>count</t>
  </si>
  <si>
    <t>q1</t>
  </si>
  <si>
    <t>q2</t>
  </si>
  <si>
    <t>q3</t>
  </si>
  <si>
    <t>&lt;50k sf Count</t>
  </si>
  <si>
    <t>50k-100k sf Count</t>
  </si>
  <si>
    <t>150k-250k sf Count</t>
  </si>
  <si>
    <t>250k-500k sf Count</t>
  </si>
  <si>
    <t>500k-1M sf Count</t>
  </si>
  <si>
    <t>&gt;1M sf Count</t>
  </si>
  <si>
    <t>&lt;20 kbtu/sf Count</t>
  </si>
  <si>
    <t>&lt;40 kbtu/sf Count</t>
  </si>
  <si>
    <t>&lt;60 kbtu/sf Count</t>
  </si>
  <si>
    <t>&lt;80 kbtu/sf Count</t>
  </si>
  <si>
    <t>&lt;100 kbtu/sf Count</t>
  </si>
  <si>
    <t>&lt;150 kbtu/sf Count</t>
  </si>
  <si>
    <t>&lt;250 kbtu/sf Count</t>
  </si>
  <si>
    <t>&lt;500 kbtu/sf Count</t>
  </si>
  <si>
    <t>&gt;500 kbtu/sf Count</t>
  </si>
  <si>
    <t>2025-2029</t>
  </si>
  <si>
    <t>2030-2034</t>
  </si>
  <si>
    <t>2035-2039</t>
  </si>
  <si>
    <t>2040-2044</t>
  </si>
  <si>
    <t>2045-2049</t>
  </si>
  <si>
    <t>2025-&gt;2035</t>
  </si>
  <si>
    <t>2030-&gt;2040</t>
  </si>
  <si>
    <t>2035-&gt;2045</t>
  </si>
  <si>
    <t>2040-&gt;2050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</si>
</sst>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7" formatCode="0.0%"/>
    <numFmt numFmtId="169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44" fontId="0" fillId="0" borderId="0" xfId="2" applyFont="1"/>
    <xf numFmtId="9" fontId="0" fillId="0" borderId="0" xfId="3" applyFont="1"/>
    <xf numFmtId="44" fontId="4" fillId="0" borderId="0" xfId="2" applyFont="1"/>
    <xf numFmtId="0" fontId="4" fillId="0" borderId="0" xfId="0" applyFont="1"/>
    <xf numFmtId="9" fontId="4" fillId="0" borderId="0" xfId="3" applyFont="1"/>
    <xf numFmtId="0" fontId="2" fillId="0" borderId="0" xfId="0" applyFont="1" applyFill="1" applyBorder="1" applyAlignment="1">
      <alignment horizontal="center" vertical="top"/>
    </xf>
    <xf numFmtId="44" fontId="0" fillId="0" borderId="0" xfId="2" applyNumberFormat="1" applyFont="1"/>
    <xf numFmtId="0" fontId="0" fillId="2" borderId="0" xfId="0" applyFill="1"/>
    <xf numFmtId="44" fontId="0" fillId="2" borderId="0" xfId="2" applyFont="1" applyFill="1"/>
    <xf numFmtId="9" fontId="0" fillId="2" borderId="0" xfId="3" applyFont="1" applyFill="1"/>
    <xf numFmtId="0" fontId="2" fillId="0" borderId="0" xfId="0" applyFont="1" applyBorder="1" applyAlignment="1">
      <alignment horizontal="center" vertical="top"/>
    </xf>
    <xf numFmtId="167" fontId="0" fillId="0" borderId="0" xfId="3" applyNumberFormat="1" applyFont="1"/>
    <xf numFmtId="167" fontId="0" fillId="2" borderId="0" xfId="3" applyNumberFormat="1" applyFont="1" applyFill="1"/>
    <xf numFmtId="169" fontId="0" fillId="0" borderId="0" xfId="1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7145000" cy="762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85" zoomScaleNormal="85" workbookViewId="0"/>
  </sheetViews>
  <sheetFormatPr defaultRowHeight="15" x14ac:dyDescent="0.25"/>
  <sheetData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1"/>
  <sheetViews>
    <sheetView tabSelected="1" topLeftCell="A25" workbookViewId="0">
      <selection activeCell="J51" sqref="J51:K51"/>
    </sheetView>
  </sheetViews>
  <sheetFormatPr defaultRowHeight="15" x14ac:dyDescent="0.25"/>
  <cols>
    <col min="1" max="1" width="40.28515625" bestFit="1" customWidth="1"/>
    <col min="10" max="10" width="14.28515625" bestFit="1" customWidth="1"/>
    <col min="11" max="11" width="16.85546875" bestFit="1" customWidth="1"/>
    <col min="14" max="14" width="20.85546875" bestFit="1" customWidth="1"/>
    <col min="17" max="17" width="9.28515625" customWidth="1"/>
    <col min="18" max="18" width="10" bestFit="1" customWidth="1"/>
    <col min="22" max="22" width="10" bestFit="1" customWidth="1"/>
    <col min="24" max="27" width="10.7109375" bestFit="1" customWidth="1"/>
  </cols>
  <sheetData>
    <row r="1" spans="1:2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4"/>
      <c r="P1" s="14"/>
      <c r="R1" s="3" t="s">
        <v>81</v>
      </c>
      <c r="S1" s="3" t="s">
        <v>82</v>
      </c>
      <c r="T1" s="3" t="s">
        <v>83</v>
      </c>
      <c r="U1" s="3" t="s">
        <v>84</v>
      </c>
      <c r="V1" s="3" t="s">
        <v>85</v>
      </c>
      <c r="X1" s="9" t="s">
        <v>86</v>
      </c>
      <c r="Y1" s="9" t="s">
        <v>87</v>
      </c>
      <c r="Z1" s="9" t="s">
        <v>88</v>
      </c>
      <c r="AA1" s="9" t="s">
        <v>89</v>
      </c>
    </row>
    <row r="2" spans="1:27" x14ac:dyDescent="0.25">
      <c r="A2" t="s">
        <v>14</v>
      </c>
      <c r="B2">
        <v>1</v>
      </c>
      <c r="C2">
        <v>25772</v>
      </c>
      <c r="D2">
        <v>129.19999999999999</v>
      </c>
      <c r="E2">
        <v>0.1212121212121212</v>
      </c>
      <c r="F2">
        <v>2.7722360665502741E-2</v>
      </c>
      <c r="G2">
        <v>1.7767568301998049E-2</v>
      </c>
      <c r="H2">
        <v>9.1434977134178698E-5</v>
      </c>
      <c r="I2">
        <v>1.106246783792971E-4</v>
      </c>
      <c r="J2">
        <v>0</v>
      </c>
      <c r="K2">
        <v>39417</v>
      </c>
      <c r="L2">
        <v>62654</v>
      </c>
      <c r="M2">
        <v>85302</v>
      </c>
      <c r="N2">
        <v>91621</v>
      </c>
      <c r="O2" s="15">
        <f>SUM(J2:N2)/SUM($J$2:$N$21,$J$23:$N$49)</f>
        <v>1.3298406315172037E-4</v>
      </c>
      <c r="R2" s="4">
        <f>J2/$C$2</f>
        <v>0</v>
      </c>
      <c r="S2" s="4">
        <f>K2/$C$2</f>
        <v>1.5294505665062859</v>
      </c>
      <c r="T2" s="4">
        <f>L2/$C$2</f>
        <v>2.4310880024833152</v>
      </c>
      <c r="U2" s="4">
        <f>M2/$C$2</f>
        <v>3.3098711780226604</v>
      </c>
      <c r="V2" s="4">
        <f>N2/$C$2</f>
        <v>3.5550597547726213</v>
      </c>
      <c r="X2" s="5">
        <v>0</v>
      </c>
      <c r="Y2" s="5">
        <f t="shared" ref="Y2:AA15" si="0">(T2-S2)/S2</f>
        <v>0.58951721338508767</v>
      </c>
      <c r="Z2" s="5">
        <f t="shared" si="0"/>
        <v>0.36147731988380633</v>
      </c>
      <c r="AA2" s="5">
        <f>(V2-U2)/U2</f>
        <v>7.4077981758927006E-2</v>
      </c>
    </row>
    <row r="3" spans="1:27" x14ac:dyDescent="0.25">
      <c r="A3" t="s">
        <v>15</v>
      </c>
      <c r="B3">
        <v>1</v>
      </c>
      <c r="C3">
        <v>46350</v>
      </c>
      <c r="D3">
        <v>0</v>
      </c>
      <c r="E3">
        <v>0.1212121212121212</v>
      </c>
      <c r="F3">
        <v>4.9857652368696728E-2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s="15">
        <f t="shared" ref="O3:O49" si="1">SUM(J3:N3)/SUM($J$2:$N$21,$J$23:$N$49)</f>
        <v>0</v>
      </c>
      <c r="R3" s="4"/>
      <c r="S3" s="4"/>
      <c r="T3" s="4"/>
      <c r="U3" s="4"/>
      <c r="V3" s="4"/>
      <c r="X3" s="5"/>
      <c r="Y3" s="5"/>
      <c r="Z3" s="5"/>
      <c r="AA3" s="5"/>
    </row>
    <row r="4" spans="1:27" x14ac:dyDescent="0.25">
      <c r="A4" t="s">
        <v>16</v>
      </c>
      <c r="B4">
        <v>206</v>
      </c>
      <c r="C4">
        <v>19557823</v>
      </c>
      <c r="D4">
        <v>214679.3</v>
      </c>
      <c r="E4">
        <v>24.969696969696969</v>
      </c>
      <c r="F4">
        <v>21.037910252912649</v>
      </c>
      <c r="G4">
        <v>29.522671252129491</v>
      </c>
      <c r="H4">
        <v>0.15192876847276701</v>
      </c>
      <c r="I4">
        <v>0.1838144622073733</v>
      </c>
      <c r="J4">
        <v>28574345</v>
      </c>
      <c r="K4">
        <v>120633423</v>
      </c>
      <c r="L4">
        <v>204988447</v>
      </c>
      <c r="M4">
        <v>207371296</v>
      </c>
      <c r="N4">
        <v>203314301</v>
      </c>
      <c r="O4" s="15">
        <f t="shared" si="1"/>
        <v>0.36458522832250984</v>
      </c>
      <c r="R4" s="4">
        <f>J4/$C$4</f>
        <v>1.4610186931336888</v>
      </c>
      <c r="S4" s="4">
        <f>K4/$C$4</f>
        <v>6.1680394080670427</v>
      </c>
      <c r="T4" s="4">
        <f>L4/$C$4</f>
        <v>10.48114848978846</v>
      </c>
      <c r="U4" s="4">
        <f>M4/$C$4</f>
        <v>10.602984595984942</v>
      </c>
      <c r="V4" s="4">
        <f>N4/$C$4</f>
        <v>10.395548676353192</v>
      </c>
      <c r="X4" s="5">
        <f t="shared" ref="X3:X15" si="2">(S4-R4)/R4</f>
        <v>3.2217388710047414</v>
      </c>
      <c r="Y4" s="5">
        <f t="shared" si="0"/>
        <v>0.69926743270809799</v>
      </c>
      <c r="Z4" s="5">
        <f t="shared" si="0"/>
        <v>1.1624308759215163E-2</v>
      </c>
      <c r="AA4" s="5">
        <f t="shared" si="0"/>
        <v>-1.9563917852931788E-2</v>
      </c>
    </row>
    <row r="5" spans="1:27" x14ac:dyDescent="0.25">
      <c r="A5" t="s">
        <v>17</v>
      </c>
      <c r="B5">
        <v>4</v>
      </c>
      <c r="C5">
        <v>286620</v>
      </c>
      <c r="D5">
        <v>1972.2</v>
      </c>
      <c r="E5">
        <v>0.48484848484848492</v>
      </c>
      <c r="F5">
        <v>0.30831068655697641</v>
      </c>
      <c r="G5">
        <v>0.27121670437461742</v>
      </c>
      <c r="H5">
        <v>1.395728033312904E-3</v>
      </c>
      <c r="I5">
        <v>1.688653178789859E-3</v>
      </c>
      <c r="J5">
        <v>0</v>
      </c>
      <c r="K5">
        <v>225350</v>
      </c>
      <c r="L5">
        <v>454921</v>
      </c>
      <c r="M5">
        <v>664983</v>
      </c>
      <c r="N5">
        <v>604181</v>
      </c>
      <c r="O5" s="15">
        <f t="shared" si="1"/>
        <v>9.2920918424831361E-4</v>
      </c>
      <c r="R5" s="4">
        <f>J5/$C$5</f>
        <v>0</v>
      </c>
      <c r="S5" s="4">
        <f>K5/$C$5</f>
        <v>0.78623264252320146</v>
      </c>
      <c r="T5" s="4">
        <f>L5/$C$5</f>
        <v>1.5871921010397041</v>
      </c>
      <c r="U5" s="4">
        <f>M5/$C$5</f>
        <v>2.3200858279254764</v>
      </c>
      <c r="V5" s="4">
        <f>N5/$C$5</f>
        <v>2.1079512943967624</v>
      </c>
      <c r="X5" s="5">
        <v>0</v>
      </c>
      <c r="Y5" s="5">
        <f t="shared" si="0"/>
        <v>1.0187308631018415</v>
      </c>
      <c r="Z5" s="5">
        <f t="shared" si="0"/>
        <v>0.46175489810318726</v>
      </c>
      <c r="AA5" s="5">
        <f t="shared" si="0"/>
        <v>-9.1433916355756428E-2</v>
      </c>
    </row>
    <row r="6" spans="1:27" x14ac:dyDescent="0.25">
      <c r="A6" t="s">
        <v>18</v>
      </c>
      <c r="B6">
        <v>1</v>
      </c>
      <c r="C6">
        <v>155632</v>
      </c>
      <c r="D6">
        <v>2092.5</v>
      </c>
      <c r="E6">
        <v>0.1212121212121212</v>
      </c>
      <c r="F6">
        <v>0.1674098414982742</v>
      </c>
      <c r="G6">
        <v>0.28776034575797932</v>
      </c>
      <c r="H6">
        <v>1.4808644710005341E-3</v>
      </c>
      <c r="I6">
        <v>1.791657426537764E-3</v>
      </c>
      <c r="J6">
        <v>116000</v>
      </c>
      <c r="K6">
        <v>920095</v>
      </c>
      <c r="L6">
        <v>1750947</v>
      </c>
      <c r="M6">
        <v>1467309</v>
      </c>
      <c r="N6">
        <v>1189021</v>
      </c>
      <c r="O6" s="15">
        <f t="shared" si="1"/>
        <v>2.5946139551614243E-3</v>
      </c>
      <c r="R6" s="4">
        <f>J6/$C$6</f>
        <v>0.74534800041122651</v>
      </c>
      <c r="S6" s="4">
        <f>K6/$C$6</f>
        <v>5.9119911072273057</v>
      </c>
      <c r="T6" s="4">
        <f>L6/$C$6</f>
        <v>11.250559011000309</v>
      </c>
      <c r="U6" s="4">
        <f>M6/$C$6</f>
        <v>9.4280674925465195</v>
      </c>
      <c r="V6" s="4">
        <f>N6/$C$6</f>
        <v>7.6399519379048009</v>
      </c>
      <c r="X6" s="5">
        <f t="shared" si="2"/>
        <v>6.931853448275862</v>
      </c>
      <c r="Y6" s="5">
        <f t="shared" si="0"/>
        <v>0.90300675473728265</v>
      </c>
      <c r="Z6" s="5">
        <f t="shared" si="0"/>
        <v>-0.16199119676380846</v>
      </c>
      <c r="AA6" s="5">
        <f t="shared" si="0"/>
        <v>-0.18965875626742559</v>
      </c>
    </row>
    <row r="7" spans="1:27" x14ac:dyDescent="0.25">
      <c r="A7" t="s">
        <v>19</v>
      </c>
      <c r="B7">
        <v>2</v>
      </c>
      <c r="C7">
        <v>1143779</v>
      </c>
      <c r="D7">
        <v>6815.1</v>
      </c>
      <c r="E7">
        <v>0.2424242424242424</v>
      </c>
      <c r="F7">
        <v>1.230337341286204</v>
      </c>
      <c r="G7">
        <v>0.93721172395469765</v>
      </c>
      <c r="H7">
        <v>4.8230535036156447E-3</v>
      </c>
      <c r="I7">
        <v>5.8352805388757556E-3</v>
      </c>
      <c r="J7">
        <v>303753</v>
      </c>
      <c r="K7">
        <v>2924005</v>
      </c>
      <c r="L7">
        <v>5670744</v>
      </c>
      <c r="M7">
        <v>4630653</v>
      </c>
      <c r="N7">
        <v>3610187</v>
      </c>
      <c r="O7" s="15">
        <f t="shared" si="1"/>
        <v>8.169564001042795E-3</v>
      </c>
      <c r="R7" s="4">
        <f>J7/$C$7</f>
        <v>0.26556965987310488</v>
      </c>
      <c r="S7" s="4">
        <f>K7/$C$7</f>
        <v>2.55644228474207</v>
      </c>
      <c r="T7" s="4">
        <f>L7/$C$7</f>
        <v>4.9579018324344126</v>
      </c>
      <c r="U7" s="4">
        <f>M7/$C$7</f>
        <v>4.0485557087514286</v>
      </c>
      <c r="V7" s="4">
        <f>N7/$C$7</f>
        <v>3.1563676199685431</v>
      </c>
      <c r="X7" s="5">
        <f t="shared" si="2"/>
        <v>8.626258835303684</v>
      </c>
      <c r="Y7" s="5">
        <f t="shared" si="0"/>
        <v>0.93937561666276215</v>
      </c>
      <c r="Z7" s="5">
        <f t="shared" si="0"/>
        <v>-0.18341349918105981</v>
      </c>
      <c r="AA7" s="5">
        <f t="shared" si="0"/>
        <v>-0.22037194322269449</v>
      </c>
    </row>
    <row r="8" spans="1:27" x14ac:dyDescent="0.25">
      <c r="A8" t="s">
        <v>20</v>
      </c>
      <c r="B8">
        <v>2</v>
      </c>
      <c r="C8">
        <v>57923</v>
      </c>
      <c r="D8">
        <v>251.8</v>
      </c>
      <c r="E8">
        <v>0.2424242424242424</v>
      </c>
      <c r="F8">
        <v>6.2306468137044671E-2</v>
      </c>
      <c r="G8">
        <v>3.4627505405906422E-2</v>
      </c>
      <c r="H8">
        <v>1.781991272630511E-4</v>
      </c>
      <c r="I8">
        <v>2.1559825089711309E-4</v>
      </c>
      <c r="J8">
        <v>0</v>
      </c>
      <c r="K8">
        <v>66025</v>
      </c>
      <c r="L8">
        <v>108006</v>
      </c>
      <c r="M8">
        <v>148490</v>
      </c>
      <c r="N8">
        <v>156009</v>
      </c>
      <c r="O8" s="15">
        <f t="shared" si="1"/>
        <v>2.2809402259544204E-4</v>
      </c>
      <c r="R8" s="4">
        <f>J8/$C$8</f>
        <v>0</v>
      </c>
      <c r="S8" s="4">
        <f>K8/$C$8</f>
        <v>1.1398753517600952</v>
      </c>
      <c r="T8" s="4">
        <f>L8/$C$8</f>
        <v>1.8646478946187179</v>
      </c>
      <c r="U8" s="4">
        <f>M8/$C$8</f>
        <v>2.5635757816411444</v>
      </c>
      <c r="V8" s="4">
        <f>N8/$C$8</f>
        <v>2.6933860469934223</v>
      </c>
      <c r="X8" s="5">
        <v>0</v>
      </c>
      <c r="Y8" s="5">
        <f t="shared" si="0"/>
        <v>0.63583491101855361</v>
      </c>
      <c r="Z8" s="5">
        <f t="shared" si="0"/>
        <v>0.37483102790585715</v>
      </c>
      <c r="AA8" s="5">
        <f t="shared" si="0"/>
        <v>5.0636406492019614E-2</v>
      </c>
    </row>
    <row r="9" spans="1:27" x14ac:dyDescent="0.25">
      <c r="A9" t="s">
        <v>21</v>
      </c>
      <c r="B9">
        <v>6</v>
      </c>
      <c r="C9">
        <v>110691</v>
      </c>
      <c r="D9">
        <v>381</v>
      </c>
      <c r="E9">
        <v>0.72727272727272729</v>
      </c>
      <c r="F9">
        <v>0.1190678187344856</v>
      </c>
      <c r="G9">
        <v>5.2395073707904471E-2</v>
      </c>
      <c r="H9">
        <v>2.6963410439722978E-4</v>
      </c>
      <c r="I9">
        <v>3.2622292927641009E-4</v>
      </c>
      <c r="J9">
        <v>0</v>
      </c>
      <c r="K9">
        <v>111590</v>
      </c>
      <c r="L9">
        <v>178009</v>
      </c>
      <c r="M9">
        <v>242654</v>
      </c>
      <c r="N9">
        <v>259907</v>
      </c>
      <c r="O9" s="15">
        <f t="shared" si="1"/>
        <v>3.7758753043530259E-4</v>
      </c>
      <c r="R9" s="4">
        <f>J9/$C$9</f>
        <v>0</v>
      </c>
      <c r="S9" s="4">
        <f>K9/$C$9</f>
        <v>1.0081217081786233</v>
      </c>
      <c r="T9" s="4">
        <f>L9/$C$9</f>
        <v>1.6081614584744921</v>
      </c>
      <c r="U9" s="4">
        <f>M9/$C$9</f>
        <v>2.1921746122087615</v>
      </c>
      <c r="V9" s="4">
        <f>N9/$C$9</f>
        <v>2.3480409428047446</v>
      </c>
      <c r="X9" s="5">
        <v>0</v>
      </c>
      <c r="Y9" s="5">
        <f t="shared" si="0"/>
        <v>0.59520566358992755</v>
      </c>
      <c r="Z9" s="5">
        <f t="shared" si="0"/>
        <v>0.36315579549348637</v>
      </c>
      <c r="AA9" s="5">
        <f t="shared" si="0"/>
        <v>7.1101238800926267E-2</v>
      </c>
    </row>
    <row r="10" spans="1:27" x14ac:dyDescent="0.25">
      <c r="A10" t="s">
        <v>22</v>
      </c>
      <c r="B10">
        <v>7</v>
      </c>
      <c r="C10">
        <v>490785</v>
      </c>
      <c r="D10">
        <v>2325.6999999999998</v>
      </c>
      <c r="E10">
        <v>0.84848484848484862</v>
      </c>
      <c r="F10">
        <v>0.52792638441792505</v>
      </c>
      <c r="G10">
        <v>0.3198299814238148</v>
      </c>
      <c r="H10">
        <v>1.6459003585213581E-3</v>
      </c>
      <c r="I10">
        <v>1.9913298336434299E-3</v>
      </c>
      <c r="J10">
        <v>249842</v>
      </c>
      <c r="K10">
        <v>1155167</v>
      </c>
      <c r="L10">
        <v>1958192</v>
      </c>
      <c r="M10">
        <v>2031213</v>
      </c>
      <c r="N10">
        <v>2004159</v>
      </c>
      <c r="O10" s="15">
        <f t="shared" si="1"/>
        <v>3.526571535820173E-3</v>
      </c>
      <c r="R10" s="4">
        <f>J10/$C$10</f>
        <v>0.50906608800187458</v>
      </c>
      <c r="S10" s="4">
        <f>K10/$C$10</f>
        <v>2.3537129292867549</v>
      </c>
      <c r="T10" s="4">
        <f>L10/$C$10</f>
        <v>3.9899181922837901</v>
      </c>
      <c r="U10" s="4">
        <f>M10/$C$10</f>
        <v>4.1387022830771114</v>
      </c>
      <c r="V10" s="4">
        <f>N10/$C$10</f>
        <v>4.0835783489715451</v>
      </c>
      <c r="X10" s="5">
        <f t="shared" si="2"/>
        <v>3.6235901089488558</v>
      </c>
      <c r="Y10" s="5">
        <f t="shared" si="0"/>
        <v>0.69515922805966579</v>
      </c>
      <c r="Z10" s="5">
        <f t="shared" si="0"/>
        <v>3.7290010376919223E-2</v>
      </c>
      <c r="AA10" s="5">
        <f t="shared" si="0"/>
        <v>-1.3319134920857801E-2</v>
      </c>
    </row>
    <row r="11" spans="1:27" x14ac:dyDescent="0.25">
      <c r="A11" t="s">
        <v>23</v>
      </c>
      <c r="B11">
        <v>1</v>
      </c>
      <c r="C11">
        <v>30000</v>
      </c>
      <c r="D11">
        <v>813.4</v>
      </c>
      <c r="E11">
        <v>0.1212121212121212</v>
      </c>
      <c r="F11">
        <v>3.227032515773251E-2</v>
      </c>
      <c r="G11">
        <v>0.1118586691706286</v>
      </c>
      <c r="H11">
        <v>5.7564404335093617E-4</v>
      </c>
      <c r="I11">
        <v>6.9645598601950662E-4</v>
      </c>
      <c r="J11">
        <v>0</v>
      </c>
      <c r="K11">
        <v>306736</v>
      </c>
      <c r="L11">
        <v>470220</v>
      </c>
      <c r="M11">
        <v>632016</v>
      </c>
      <c r="N11">
        <v>698563</v>
      </c>
      <c r="O11" s="15">
        <f t="shared" si="1"/>
        <v>1.0045684406634588E-3</v>
      </c>
      <c r="R11" s="6">
        <f>J11/$C$11</f>
        <v>0</v>
      </c>
      <c r="S11" s="6">
        <f>K11/$C$11</f>
        <v>10.224533333333333</v>
      </c>
      <c r="T11" s="6">
        <f>L11/$C$11</f>
        <v>15.673999999999999</v>
      </c>
      <c r="U11" s="6">
        <f>M11/$C$11</f>
        <v>21.0672</v>
      </c>
      <c r="V11" s="6">
        <f>N11/$C$11</f>
        <v>23.285433333333334</v>
      </c>
      <c r="W11" s="7"/>
      <c r="X11" s="8">
        <v>0</v>
      </c>
      <c r="Y11" s="8">
        <f t="shared" si="0"/>
        <v>0.53297950028689156</v>
      </c>
      <c r="Z11" s="8">
        <f t="shared" si="0"/>
        <v>0.34408574709710349</v>
      </c>
      <c r="AA11" s="8">
        <f t="shared" si="0"/>
        <v>0.1052932204247994</v>
      </c>
    </row>
    <row r="12" spans="1:27" x14ac:dyDescent="0.25">
      <c r="A12" t="s">
        <v>24</v>
      </c>
      <c r="B12">
        <v>2</v>
      </c>
      <c r="C12">
        <v>1012524</v>
      </c>
      <c r="D12">
        <v>17684.3</v>
      </c>
      <c r="E12">
        <v>0.2424242424242424</v>
      </c>
      <c r="F12">
        <v>1.089149290333598</v>
      </c>
      <c r="G12">
        <v>2.4319427873299082</v>
      </c>
      <c r="H12">
        <v>1.2515197880293779E-2</v>
      </c>
      <c r="I12">
        <v>1.5141795664574329E-2</v>
      </c>
      <c r="J12">
        <v>2467628</v>
      </c>
      <c r="K12">
        <v>10025766</v>
      </c>
      <c r="L12">
        <v>17706582</v>
      </c>
      <c r="M12">
        <v>16406183</v>
      </c>
      <c r="N12">
        <v>15130318</v>
      </c>
      <c r="O12" s="15">
        <f t="shared" si="1"/>
        <v>2.9427039850795117E-2</v>
      </c>
      <c r="R12" s="4">
        <f>J12/$C$12</f>
        <v>2.4371056883589919</v>
      </c>
      <c r="S12" s="4">
        <f>K12/$C$12</f>
        <v>9.9017564028111931</v>
      </c>
      <c r="T12" s="4">
        <f>L12/$C$12</f>
        <v>17.487567702098914</v>
      </c>
      <c r="U12" s="4">
        <f>M12/$C$12</f>
        <v>16.203253453745294</v>
      </c>
      <c r="V12" s="4">
        <f>N12/$C$12</f>
        <v>14.943169742149323</v>
      </c>
      <c r="X12" s="5">
        <f t="shared" si="2"/>
        <v>3.062916290461934</v>
      </c>
      <c r="Y12" s="5">
        <f t="shared" si="0"/>
        <v>0.76610764703664547</v>
      </c>
      <c r="Z12" s="5">
        <f t="shared" si="0"/>
        <v>-7.3441559754446176E-2</v>
      </c>
      <c r="AA12" s="5">
        <f t="shared" si="0"/>
        <v>-7.7767327110760578E-2</v>
      </c>
    </row>
    <row r="13" spans="1:27" x14ac:dyDescent="0.25">
      <c r="A13" t="s">
        <v>25</v>
      </c>
      <c r="B13">
        <v>19</v>
      </c>
      <c r="C13">
        <v>2721763</v>
      </c>
      <c r="D13">
        <v>12229.6</v>
      </c>
      <c r="E13">
        <v>2.3030303030303032</v>
      </c>
      <c r="F13">
        <v>2.9277392337428498</v>
      </c>
      <c r="G13">
        <v>1.681813106084485</v>
      </c>
      <c r="H13">
        <v>8.6549009006203718E-3</v>
      </c>
      <c r="I13">
        <v>1.0471327915692351E-2</v>
      </c>
      <c r="J13">
        <v>1198345</v>
      </c>
      <c r="K13">
        <v>6006310</v>
      </c>
      <c r="L13">
        <v>10732963</v>
      </c>
      <c r="M13">
        <v>10071229</v>
      </c>
      <c r="N13">
        <v>9183134</v>
      </c>
      <c r="O13" s="15">
        <f t="shared" si="1"/>
        <v>1.7727767443176501E-2</v>
      </c>
      <c r="R13" s="4">
        <f>J13/$C$13</f>
        <v>0.44028264033275488</v>
      </c>
      <c r="S13" s="4">
        <f>K13/$C$13</f>
        <v>2.2067718607387934</v>
      </c>
      <c r="T13" s="4">
        <f>L13/$C$13</f>
        <v>3.9433863271710283</v>
      </c>
      <c r="U13" s="4">
        <f>M13/$C$13</f>
        <v>3.7002593539555062</v>
      </c>
      <c r="V13" s="4">
        <f>N13/$C$13</f>
        <v>3.3739653305596411</v>
      </c>
      <c r="X13" s="5">
        <f t="shared" si="2"/>
        <v>4.0121709524385727</v>
      </c>
      <c r="Y13" s="5">
        <f t="shared" si="0"/>
        <v>0.78694789313238889</v>
      </c>
      <c r="Z13" s="5">
        <f t="shared" si="0"/>
        <v>-6.1654363291851387E-2</v>
      </c>
      <c r="AA13" s="5">
        <f t="shared" si="0"/>
        <v>-8.8181392757527399E-2</v>
      </c>
    </row>
    <row r="14" spans="1:27" x14ac:dyDescent="0.25">
      <c r="A14" t="s">
        <v>26</v>
      </c>
      <c r="B14">
        <v>39</v>
      </c>
      <c r="C14">
        <v>2459432</v>
      </c>
      <c r="D14">
        <v>9095.4</v>
      </c>
      <c r="E14">
        <v>4.7272727272727284</v>
      </c>
      <c r="F14">
        <v>2.6455556781110792</v>
      </c>
      <c r="G14">
        <v>1.250798302894683</v>
      </c>
      <c r="H14">
        <v>6.4368242339489859E-3</v>
      </c>
      <c r="I14">
        <v>7.7877376140174821E-3</v>
      </c>
      <c r="J14">
        <v>522508</v>
      </c>
      <c r="K14">
        <v>3644261</v>
      </c>
      <c r="L14">
        <v>6274606</v>
      </c>
      <c r="M14">
        <v>6510420</v>
      </c>
      <c r="N14">
        <v>6318061</v>
      </c>
      <c r="O14" s="15">
        <f t="shared" si="1"/>
        <v>1.1091708064816588E-2</v>
      </c>
      <c r="R14" s="4">
        <f>J14/$C$14</f>
        <v>0.21245067966912687</v>
      </c>
      <c r="S14" s="4">
        <f>K14/$C$14</f>
        <v>1.4817490379892593</v>
      </c>
      <c r="T14" s="4">
        <f>L14/$C$14</f>
        <v>2.5512419127668502</v>
      </c>
      <c r="U14" s="4">
        <f>M14/$C$14</f>
        <v>2.6471234008502775</v>
      </c>
      <c r="V14" s="4">
        <f>N14/$C$14</f>
        <v>2.5689106265186434</v>
      </c>
      <c r="X14" s="5">
        <f t="shared" si="2"/>
        <v>5.9745554135056302</v>
      </c>
      <c r="Y14" s="5">
        <f t="shared" si="0"/>
        <v>0.72177733702388491</v>
      </c>
      <c r="Z14" s="5">
        <f t="shared" si="0"/>
        <v>3.7582280066668708E-2</v>
      </c>
      <c r="AA14" s="5">
        <f t="shared" si="0"/>
        <v>-2.9546327272280362E-2</v>
      </c>
    </row>
    <row r="15" spans="1:27" s="11" customFormat="1" x14ac:dyDescent="0.25">
      <c r="A15" s="11" t="s">
        <v>27</v>
      </c>
      <c r="B15" s="11">
        <v>65</v>
      </c>
      <c r="C15" s="11">
        <v>10906876</v>
      </c>
      <c r="D15" s="11">
        <v>195159.1</v>
      </c>
      <c r="E15" s="11">
        <v>7.878787878787878</v>
      </c>
      <c r="F15" s="11">
        <v>11.73228116583563</v>
      </c>
      <c r="G15" s="11">
        <v>26.838255719864311</v>
      </c>
      <c r="H15" s="11">
        <v>0.1381143022138305</v>
      </c>
      <c r="I15" s="11">
        <v>0.16710071726233031</v>
      </c>
      <c r="J15" s="11">
        <v>22963442</v>
      </c>
      <c r="K15" s="11">
        <v>101975197</v>
      </c>
      <c r="L15" s="11">
        <v>179269231</v>
      </c>
      <c r="M15" s="11">
        <v>171337095</v>
      </c>
      <c r="N15" s="11">
        <v>159969158</v>
      </c>
      <c r="O15" s="16">
        <f t="shared" si="1"/>
        <v>0.30292138994688844</v>
      </c>
      <c r="R15" s="12">
        <f>J15/$C$15</f>
        <v>2.1054096516729448</v>
      </c>
      <c r="S15" s="12">
        <f>K15/$C$15</f>
        <v>9.3496246771302793</v>
      </c>
      <c r="T15" s="12">
        <f>L15/$C$15</f>
        <v>16.436349968588623</v>
      </c>
      <c r="U15" s="12">
        <f>M15/$C$15</f>
        <v>15.709089843874635</v>
      </c>
      <c r="V15" s="12">
        <f>N15/$C$15</f>
        <v>14.666817336146483</v>
      </c>
      <c r="X15" s="13">
        <f t="shared" si="2"/>
        <v>3.4407627131855922</v>
      </c>
      <c r="Y15" s="13">
        <f t="shared" si="0"/>
        <v>0.75796895984422574</v>
      </c>
      <c r="Z15" s="13">
        <f t="shared" si="0"/>
        <v>-4.4247057655978903E-2</v>
      </c>
      <c r="AA15" s="13">
        <f t="shared" si="0"/>
        <v>-6.6348370153001546E-2</v>
      </c>
    </row>
    <row r="16" spans="1:27" x14ac:dyDescent="0.25">
      <c r="A16" t="s">
        <v>28</v>
      </c>
      <c r="B16">
        <v>3</v>
      </c>
      <c r="C16">
        <v>140198</v>
      </c>
      <c r="D16">
        <v>821.1</v>
      </c>
      <c r="E16">
        <v>0.36363636363636359</v>
      </c>
      <c r="F16">
        <v>0.1508078348821261</v>
      </c>
      <c r="G16">
        <v>0.1129175722350666</v>
      </c>
      <c r="H16">
        <v>5.8109334152379359E-4</v>
      </c>
      <c r="I16">
        <v>7.030489428579013E-4</v>
      </c>
      <c r="J16">
        <v>104276</v>
      </c>
      <c r="K16">
        <v>443140</v>
      </c>
      <c r="L16">
        <v>780134</v>
      </c>
      <c r="M16">
        <v>732898</v>
      </c>
      <c r="N16">
        <v>680610</v>
      </c>
      <c r="O16" s="15">
        <f t="shared" si="1"/>
        <v>1.3065407506058495E-3</v>
      </c>
      <c r="R16" s="4">
        <f t="shared" ref="R16:R49" si="3">J16/$C$15</f>
        <v>9.5605744486322204E-3</v>
      </c>
      <c r="S16" s="4">
        <f t="shared" ref="S16:S49" si="4">K16/$C$15</f>
        <v>4.0629415792386381E-2</v>
      </c>
      <c r="T16" s="4">
        <f t="shared" ref="T16:T49" si="5">L16/$C$15</f>
        <v>7.1526805659108988E-2</v>
      </c>
      <c r="U16" s="4">
        <f t="shared" ref="U16:U49" si="6">M16/$C$15</f>
        <v>6.7195959686348325E-2</v>
      </c>
      <c r="V16" s="4">
        <f t="shared" ref="V16:V49" si="7">N16/$C$15</f>
        <v>6.2401919669756951E-2</v>
      </c>
      <c r="X16" s="5">
        <f t="shared" ref="X16" si="8">(S16-R16)/R16</f>
        <v>3.24968353216464</v>
      </c>
      <c r="Y16" s="5">
        <f t="shared" ref="Y16" si="9">(T16-S16)/S16</f>
        <v>0.7604684749740489</v>
      </c>
      <c r="Z16" s="5">
        <f t="shared" ref="Z16" si="10">(U16-T16)/T16</f>
        <v>-6.0548572424737206E-2</v>
      </c>
      <c r="AA16" s="5">
        <f t="shared" ref="AA16" si="11">(V16-U16)/U16</f>
        <v>-7.1344170675864918E-2</v>
      </c>
    </row>
    <row r="17" spans="1:27" x14ac:dyDescent="0.25">
      <c r="A17" t="s">
        <v>29</v>
      </c>
      <c r="B17">
        <v>1</v>
      </c>
      <c r="C17">
        <v>56000</v>
      </c>
      <c r="D17">
        <v>0</v>
      </c>
      <c r="E17">
        <v>0.1212121212121212</v>
      </c>
      <c r="F17">
        <v>6.0237940294434009E-2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s="15">
        <f t="shared" si="1"/>
        <v>0</v>
      </c>
      <c r="R17" s="4"/>
      <c r="S17" s="4"/>
      <c r="T17" s="4"/>
      <c r="U17" s="4"/>
      <c r="V17" s="4"/>
    </row>
    <row r="18" spans="1:27" x14ac:dyDescent="0.25">
      <c r="A18" t="s">
        <v>30</v>
      </c>
      <c r="B18">
        <v>4</v>
      </c>
      <c r="C18">
        <v>281576</v>
      </c>
      <c r="D18">
        <v>5161.7999999999993</v>
      </c>
      <c r="E18">
        <v>0.48484848484848492</v>
      </c>
      <c r="F18">
        <v>0.30288496922045632</v>
      </c>
      <c r="G18">
        <v>0.70985010883323174</v>
      </c>
      <c r="H18">
        <v>3.653011338786405E-3</v>
      </c>
      <c r="I18">
        <v>4.4196785205747342E-3</v>
      </c>
      <c r="J18">
        <v>766018</v>
      </c>
      <c r="K18">
        <v>3012776</v>
      </c>
      <c r="L18">
        <v>5273223</v>
      </c>
      <c r="M18">
        <v>4986517</v>
      </c>
      <c r="N18">
        <v>4669558</v>
      </c>
      <c r="O18" s="15">
        <f t="shared" si="1"/>
        <v>8.9173175336250774E-3</v>
      </c>
      <c r="R18" s="4">
        <f t="shared" si="3"/>
        <v>7.0232576220725346E-2</v>
      </c>
      <c r="S18" s="4">
        <f t="shared" si="4"/>
        <v>0.2762272166658904</v>
      </c>
      <c r="T18" s="4">
        <f t="shared" si="5"/>
        <v>0.48347693693409555</v>
      </c>
      <c r="U18" s="4">
        <f t="shared" si="6"/>
        <v>0.45719021652029418</v>
      </c>
      <c r="V18" s="4">
        <f t="shared" si="7"/>
        <v>0.42812974127513692</v>
      </c>
      <c r="X18" s="5">
        <f t="shared" ref="X18:X26" si="12">(S18-R18)/R18</f>
        <v>2.9330355161366968</v>
      </c>
      <c r="Y18" s="5">
        <f t="shared" ref="Y18:Y26" si="13">(T18-S18)/S18</f>
        <v>0.75028711062488562</v>
      </c>
      <c r="Z18" s="5">
        <f t="shared" ref="Z18:Z26" si="14">(U18-T18)/T18</f>
        <v>-5.4370164129224234E-2</v>
      </c>
      <c r="AA18" s="5">
        <f t="shared" ref="AA18:AA26" si="15">(V18-U18)/U18</f>
        <v>-6.3563204537355394E-2</v>
      </c>
    </row>
    <row r="19" spans="1:27" x14ac:dyDescent="0.25">
      <c r="A19" t="s">
        <v>31</v>
      </c>
      <c r="B19">
        <v>3</v>
      </c>
      <c r="C19">
        <v>146011</v>
      </c>
      <c r="D19">
        <v>1036.5</v>
      </c>
      <c r="E19">
        <v>0.36363636363636359</v>
      </c>
      <c r="F19">
        <v>0.15706074822018939</v>
      </c>
      <c r="G19">
        <v>0.14253935406362989</v>
      </c>
      <c r="H19">
        <v>7.3353215015151878E-4</v>
      </c>
      <c r="I19">
        <v>8.8748048870078509E-4</v>
      </c>
      <c r="J19">
        <v>0</v>
      </c>
      <c r="K19">
        <v>253395</v>
      </c>
      <c r="L19">
        <v>425536</v>
      </c>
      <c r="M19">
        <v>590094</v>
      </c>
      <c r="N19">
        <v>607903</v>
      </c>
      <c r="O19" s="15">
        <f t="shared" si="1"/>
        <v>8.9464831388213453E-4</v>
      </c>
      <c r="R19" s="4">
        <f t="shared" si="3"/>
        <v>0</v>
      </c>
      <c r="S19" s="4">
        <f t="shared" si="4"/>
        <v>2.3232591990593823E-2</v>
      </c>
      <c r="T19" s="4">
        <f t="shared" si="5"/>
        <v>3.9015388090962069E-2</v>
      </c>
      <c r="U19" s="4">
        <f t="shared" si="6"/>
        <v>5.4102934699175091E-2</v>
      </c>
      <c r="V19" s="4">
        <f t="shared" si="7"/>
        <v>5.5735757883375585E-2</v>
      </c>
      <c r="X19" s="5">
        <v>0</v>
      </c>
      <c r="Y19" s="5">
        <f t="shared" si="13"/>
        <v>0.67933858205568387</v>
      </c>
      <c r="Z19" s="5">
        <f t="shared" si="14"/>
        <v>0.38670758760715901</v>
      </c>
      <c r="AA19" s="5">
        <f t="shared" si="15"/>
        <v>3.0179937433696909E-2</v>
      </c>
    </row>
    <row r="20" spans="1:27" x14ac:dyDescent="0.25">
      <c r="A20" t="s">
        <v>32</v>
      </c>
      <c r="B20">
        <v>26</v>
      </c>
      <c r="C20">
        <v>3936079</v>
      </c>
      <c r="D20">
        <v>56443.7</v>
      </c>
      <c r="E20">
        <v>3.1515151515151518</v>
      </c>
      <c r="F20">
        <v>4.2339516392174206</v>
      </c>
      <c r="G20">
        <v>7.7621307660022261</v>
      </c>
      <c r="H20">
        <v>3.9945266399910542E-2</v>
      </c>
      <c r="I20">
        <v>4.8328685441466963E-2</v>
      </c>
      <c r="J20">
        <v>6568561</v>
      </c>
      <c r="K20">
        <v>29814953</v>
      </c>
      <c r="L20">
        <v>53005811</v>
      </c>
      <c r="M20">
        <v>49315648</v>
      </c>
      <c r="N20">
        <v>45157613</v>
      </c>
      <c r="O20" s="15">
        <f t="shared" si="1"/>
        <v>8.7639138289219903E-2</v>
      </c>
      <c r="R20" s="4">
        <f t="shared" si="3"/>
        <v>0.6022403665357523</v>
      </c>
      <c r="S20" s="4">
        <f t="shared" si="4"/>
        <v>2.7335923687039259</v>
      </c>
      <c r="T20" s="4">
        <f t="shared" si="5"/>
        <v>4.8598527204306716</v>
      </c>
      <c r="U20" s="4">
        <f t="shared" si="6"/>
        <v>4.5215190857583787</v>
      </c>
      <c r="V20" s="4">
        <f t="shared" si="7"/>
        <v>4.1402884749033548</v>
      </c>
      <c r="X20" s="5">
        <f t="shared" si="12"/>
        <v>3.539038763589164</v>
      </c>
      <c r="Y20" s="5">
        <f t="shared" si="13"/>
        <v>0.77782641481943648</v>
      </c>
      <c r="Z20" s="5">
        <f t="shared" si="14"/>
        <v>-6.9618083949323964E-2</v>
      </c>
      <c r="AA20" s="5">
        <f t="shared" si="15"/>
        <v>-8.4314718930591739E-2</v>
      </c>
    </row>
    <row r="21" spans="1:27" x14ac:dyDescent="0.25">
      <c r="A21" t="s">
        <v>33</v>
      </c>
      <c r="B21">
        <v>1</v>
      </c>
      <c r="C21">
        <v>25800</v>
      </c>
      <c r="D21">
        <v>95.7</v>
      </c>
      <c r="E21">
        <v>0.1212121212121212</v>
      </c>
      <c r="F21">
        <v>2.775247963564996E-2</v>
      </c>
      <c r="G21">
        <v>1.316065237230042E-2</v>
      </c>
      <c r="H21">
        <v>6.772699157694197E-5</v>
      </c>
      <c r="I21">
        <v>8.1941034991476249E-5</v>
      </c>
      <c r="J21">
        <v>0</v>
      </c>
      <c r="K21">
        <v>23521</v>
      </c>
      <c r="L21">
        <v>38753</v>
      </c>
      <c r="M21">
        <v>53406</v>
      </c>
      <c r="N21">
        <v>55807</v>
      </c>
      <c r="O21" s="15">
        <f t="shared" si="1"/>
        <v>8.1740245445060015E-5</v>
      </c>
      <c r="R21" s="4">
        <f t="shared" si="3"/>
        <v>0</v>
      </c>
      <c r="S21" s="4">
        <f t="shared" si="4"/>
        <v>2.1565295140423342E-3</v>
      </c>
      <c r="T21" s="4">
        <f t="shared" si="5"/>
        <v>3.5530797269538957E-3</v>
      </c>
      <c r="U21" s="4">
        <f t="shared" si="6"/>
        <v>4.8965441616829605E-3</v>
      </c>
      <c r="V21" s="4">
        <f t="shared" si="7"/>
        <v>5.1166805233689282E-3</v>
      </c>
      <c r="X21" s="5">
        <v>0</v>
      </c>
      <c r="Y21" s="5">
        <f t="shared" si="13"/>
        <v>0.64759151396624304</v>
      </c>
      <c r="Z21" s="5">
        <f t="shared" si="14"/>
        <v>0.37811266224550366</v>
      </c>
      <c r="AA21" s="5">
        <f t="shared" si="15"/>
        <v>4.4957495412500492E-2</v>
      </c>
    </row>
    <row r="22" spans="1:27" s="7" customFormat="1" x14ac:dyDescent="0.25">
      <c r="A22" s="7" t="s">
        <v>34</v>
      </c>
      <c r="B22" s="7">
        <v>174</v>
      </c>
      <c r="C22" s="7">
        <v>22834362</v>
      </c>
      <c r="D22" s="7">
        <v>70117.3</v>
      </c>
      <c r="E22" s="7">
        <v>21.09090909090909</v>
      </c>
      <c r="F22" s="7">
        <v>24.56240955031237</v>
      </c>
      <c r="G22" s="7">
        <v>9.6425225766384539</v>
      </c>
      <c r="H22" s="7">
        <v>4.9622087633207038E-2</v>
      </c>
      <c r="I22" s="7">
        <v>6.0036406821398512E-2</v>
      </c>
      <c r="J22" s="7">
        <v>1073031</v>
      </c>
      <c r="K22" s="7">
        <v>4665783</v>
      </c>
      <c r="L22" s="7">
        <v>8280351</v>
      </c>
      <c r="M22" s="7">
        <v>7687772</v>
      </c>
      <c r="N22" s="7">
        <v>7052607</v>
      </c>
      <c r="O22" s="15"/>
      <c r="R22" s="6">
        <f t="shared" si="3"/>
        <v>9.838114965275116E-2</v>
      </c>
      <c r="S22" s="6">
        <f t="shared" si="4"/>
        <v>0.42778362933620956</v>
      </c>
      <c r="T22" s="6">
        <f t="shared" si="5"/>
        <v>0.75918631512818158</v>
      </c>
      <c r="U22" s="6">
        <f t="shared" si="6"/>
        <v>0.70485554250364635</v>
      </c>
      <c r="V22" s="6">
        <f t="shared" si="7"/>
        <v>0.64662026046688348</v>
      </c>
      <c r="X22" s="8">
        <f t="shared" si="12"/>
        <v>3.3482275908151768</v>
      </c>
      <c r="Y22" s="8">
        <f t="shared" si="13"/>
        <v>0.77469698012102162</v>
      </c>
      <c r="Z22" s="8">
        <f t="shared" si="14"/>
        <v>-7.1564478365711823E-2</v>
      </c>
      <c r="AA22" s="8">
        <f t="shared" si="15"/>
        <v>-8.262016615477151E-2</v>
      </c>
    </row>
    <row r="23" spans="1:27" x14ac:dyDescent="0.25">
      <c r="A23" t="s">
        <v>35</v>
      </c>
      <c r="B23">
        <v>3</v>
      </c>
      <c r="C23">
        <v>740140</v>
      </c>
      <c r="D23">
        <v>4819.3</v>
      </c>
      <c r="E23">
        <v>0.36363636363636359</v>
      </c>
      <c r="F23">
        <v>0.79615194874147133</v>
      </c>
      <c r="G23">
        <v>0.66274955044751727</v>
      </c>
      <c r="H23">
        <v>3.410623725253463E-3</v>
      </c>
      <c r="I23">
        <v>4.1264203754902981E-3</v>
      </c>
      <c r="J23">
        <v>687075</v>
      </c>
      <c r="K23">
        <v>2795249</v>
      </c>
      <c r="L23">
        <v>4898515</v>
      </c>
      <c r="M23">
        <v>4615847</v>
      </c>
      <c r="N23">
        <v>4312913</v>
      </c>
      <c r="O23" s="15">
        <f t="shared" si="1"/>
        <v>8.2507179600527468E-3</v>
      </c>
      <c r="R23" s="4">
        <f t="shared" si="3"/>
        <v>6.2994665016820578E-2</v>
      </c>
      <c r="S23" s="4">
        <f t="shared" si="4"/>
        <v>0.25628319236415631</v>
      </c>
      <c r="T23" s="4">
        <f t="shared" si="5"/>
        <v>0.44912172834824565</v>
      </c>
      <c r="U23" s="4">
        <f t="shared" si="6"/>
        <v>0.42320523310249425</v>
      </c>
      <c r="V23" s="4">
        <f t="shared" si="7"/>
        <v>0.3954306439350736</v>
      </c>
      <c r="X23" s="5">
        <f t="shared" si="12"/>
        <v>3.0683316959575007</v>
      </c>
      <c r="Y23" s="5">
        <f t="shared" si="13"/>
        <v>0.75244316338186712</v>
      </c>
      <c r="Z23" s="5">
        <f t="shared" si="14"/>
        <v>-5.7704835036740738E-2</v>
      </c>
      <c r="AA23" s="5">
        <f t="shared" si="15"/>
        <v>-6.5629125055488249E-2</v>
      </c>
    </row>
    <row r="24" spans="1:27" x14ac:dyDescent="0.25">
      <c r="A24" t="s">
        <v>36</v>
      </c>
      <c r="B24">
        <v>1</v>
      </c>
      <c r="C24">
        <v>60200</v>
      </c>
      <c r="D24">
        <v>113.2</v>
      </c>
      <c r="E24">
        <v>0.1212121212121212</v>
      </c>
      <c r="F24">
        <v>6.4755785816516559E-2</v>
      </c>
      <c r="G24">
        <v>1.5567250246023061E-2</v>
      </c>
      <c r="H24">
        <v>8.0111760151617873E-5</v>
      </c>
      <c r="I24">
        <v>9.6925027806009527E-5</v>
      </c>
      <c r="J24">
        <v>0</v>
      </c>
      <c r="K24">
        <v>40056</v>
      </c>
      <c r="L24">
        <v>62248</v>
      </c>
      <c r="M24">
        <v>84078</v>
      </c>
      <c r="N24">
        <v>91924</v>
      </c>
      <c r="O24" s="15">
        <f t="shared" si="1"/>
        <v>1.3265612407257034E-4</v>
      </c>
      <c r="R24" s="4">
        <f t="shared" si="3"/>
        <v>0</v>
      </c>
      <c r="S24" s="4">
        <f t="shared" si="4"/>
        <v>3.6725456491849729E-3</v>
      </c>
      <c r="T24" s="4">
        <f t="shared" si="5"/>
        <v>5.7072254236685185E-3</v>
      </c>
      <c r="U24" s="4">
        <f t="shared" si="6"/>
        <v>7.7087151261277746E-3</v>
      </c>
      <c r="V24" s="4">
        <f t="shared" si="7"/>
        <v>8.4280778474056187E-3</v>
      </c>
      <c r="X24" s="5">
        <v>0</v>
      </c>
      <c r="Y24" s="5">
        <f t="shared" si="13"/>
        <v>0.55402436588775705</v>
      </c>
      <c r="Z24" s="5">
        <f t="shared" si="14"/>
        <v>0.35069399820074543</v>
      </c>
      <c r="AA24" s="5">
        <f t="shared" si="15"/>
        <v>9.3318109374628422E-2</v>
      </c>
    </row>
    <row r="25" spans="1:27" s="11" customFormat="1" x14ac:dyDescent="0.25">
      <c r="A25" s="11" t="s">
        <v>37</v>
      </c>
      <c r="B25" s="11">
        <v>122</v>
      </c>
      <c r="C25" s="11">
        <v>14727106</v>
      </c>
      <c r="D25" s="11">
        <v>84554.6</v>
      </c>
      <c r="E25" s="11">
        <v>14.787878787878791</v>
      </c>
      <c r="F25" s="11">
        <v>15.841616641746439</v>
      </c>
      <c r="G25" s="11">
        <v>11.62793831848394</v>
      </c>
      <c r="H25" s="11">
        <v>5.9839380167102378E-2</v>
      </c>
      <c r="I25" s="11">
        <v>7.2398029647756296E-2</v>
      </c>
      <c r="J25" s="11">
        <v>6351854</v>
      </c>
      <c r="K25" s="11">
        <v>37639697</v>
      </c>
      <c r="L25" s="11">
        <v>68411350</v>
      </c>
      <c r="M25" s="11">
        <v>63648275</v>
      </c>
      <c r="N25" s="11">
        <v>56724665</v>
      </c>
      <c r="O25" s="16">
        <f t="shared" si="1"/>
        <v>0.11095391707254931</v>
      </c>
      <c r="R25" s="12">
        <f t="shared" si="3"/>
        <v>0.58237152416512294</v>
      </c>
      <c r="S25" s="12">
        <f t="shared" si="4"/>
        <v>3.4510062276310833</v>
      </c>
      <c r="T25" s="12">
        <f t="shared" si="5"/>
        <v>6.2723139054666062</v>
      </c>
      <c r="U25" s="12">
        <f t="shared" si="6"/>
        <v>5.8356100316901012</v>
      </c>
      <c r="V25" s="12">
        <f t="shared" si="7"/>
        <v>5.2008168975240938</v>
      </c>
      <c r="X25" s="13">
        <f t="shared" si="12"/>
        <v>4.925781197111899</v>
      </c>
      <c r="Y25" s="13">
        <f t="shared" si="13"/>
        <v>0.81753189989813135</v>
      </c>
      <c r="Z25" s="13">
        <f t="shared" si="14"/>
        <v>-6.9624046302258213E-2</v>
      </c>
      <c r="AA25" s="13">
        <f t="shared" si="15"/>
        <v>-0.10877922457442885</v>
      </c>
    </row>
    <row r="26" spans="1:27" x14ac:dyDescent="0.25">
      <c r="A26" t="s">
        <v>38</v>
      </c>
      <c r="B26">
        <v>4</v>
      </c>
      <c r="C26">
        <v>216624</v>
      </c>
      <c r="D26">
        <v>552.59999999999991</v>
      </c>
      <c r="E26">
        <v>0.48484848484848492</v>
      </c>
      <c r="F26">
        <v>0.23301756389895489</v>
      </c>
      <c r="G26">
        <v>7.5993484858236246E-2</v>
      </c>
      <c r="H26">
        <v>3.9107560653519458E-4</v>
      </c>
      <c r="I26">
        <v>4.731516816749192E-4</v>
      </c>
      <c r="J26">
        <v>43213</v>
      </c>
      <c r="K26">
        <v>253083</v>
      </c>
      <c r="L26">
        <v>434918</v>
      </c>
      <c r="M26">
        <v>445677</v>
      </c>
      <c r="N26">
        <v>432517</v>
      </c>
      <c r="O26" s="15">
        <f t="shared" si="1"/>
        <v>7.6713339752426213E-4</v>
      </c>
      <c r="R26" s="4">
        <f t="shared" si="3"/>
        <v>3.9619960839382424E-3</v>
      </c>
      <c r="S26" s="4">
        <f t="shared" si="4"/>
        <v>2.3203986182661285E-2</v>
      </c>
      <c r="T26" s="4">
        <f t="shared" si="5"/>
        <v>3.9875579405138556E-2</v>
      </c>
      <c r="U26" s="4">
        <f t="shared" si="6"/>
        <v>4.0862021352401919E-2</v>
      </c>
      <c r="V26" s="4">
        <f t="shared" si="7"/>
        <v>3.9655443043452587E-2</v>
      </c>
      <c r="X26" s="5">
        <f t="shared" si="12"/>
        <v>4.8566403628537707</v>
      </c>
      <c r="Y26" s="5">
        <f t="shared" si="13"/>
        <v>0.718479708238009</v>
      </c>
      <c r="Z26" s="5">
        <f t="shared" si="14"/>
        <v>2.4737996587862621E-2</v>
      </c>
      <c r="AA26" s="5">
        <f t="shared" si="15"/>
        <v>-2.9528111165709796E-2</v>
      </c>
    </row>
    <row r="27" spans="1:27" x14ac:dyDescent="0.25">
      <c r="A27" t="s">
        <v>39</v>
      </c>
      <c r="B27">
        <v>1</v>
      </c>
      <c r="C27">
        <v>68991</v>
      </c>
      <c r="D27">
        <v>0</v>
      </c>
      <c r="E27">
        <v>0.1212121212121212</v>
      </c>
      <c r="F27">
        <v>7.421206676523745E-2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s="15">
        <f t="shared" si="1"/>
        <v>0</v>
      </c>
      <c r="R27" s="4"/>
      <c r="S27" s="4"/>
      <c r="T27" s="4"/>
      <c r="U27" s="4"/>
      <c r="V27" s="4"/>
    </row>
    <row r="28" spans="1:27" x14ac:dyDescent="0.25">
      <c r="A28" t="s">
        <v>40</v>
      </c>
      <c r="B28">
        <v>1</v>
      </c>
      <c r="C28">
        <v>3017</v>
      </c>
      <c r="D28">
        <v>0</v>
      </c>
      <c r="E28">
        <v>0.1212121212121212</v>
      </c>
      <c r="F28">
        <v>3.245319033362633E-3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s="15">
        <f t="shared" si="1"/>
        <v>0</v>
      </c>
      <c r="R28" s="4"/>
      <c r="S28" s="4"/>
      <c r="T28" s="4"/>
      <c r="U28" s="4"/>
      <c r="V28" s="4"/>
    </row>
    <row r="29" spans="1:27" x14ac:dyDescent="0.25">
      <c r="A29" t="s">
        <v>41</v>
      </c>
      <c r="B29">
        <v>2</v>
      </c>
      <c r="C29">
        <v>81524</v>
      </c>
      <c r="D29">
        <v>284.10000000000002</v>
      </c>
      <c r="E29">
        <v>0.2424242424242424</v>
      </c>
      <c r="F29">
        <v>8.7693532938632829E-2</v>
      </c>
      <c r="G29">
        <v>3.9069397481405942E-2</v>
      </c>
      <c r="H29">
        <v>2.0105787154659581E-4</v>
      </c>
      <c r="I29">
        <v>2.4325442049193729E-4</v>
      </c>
      <c r="J29">
        <v>0</v>
      </c>
      <c r="K29">
        <v>100393</v>
      </c>
      <c r="L29">
        <v>155858</v>
      </c>
      <c r="M29">
        <v>210444</v>
      </c>
      <c r="N29">
        <v>230263</v>
      </c>
      <c r="O29" s="15">
        <f t="shared" si="1"/>
        <v>3.3220896035791712E-4</v>
      </c>
      <c r="R29" s="4">
        <f t="shared" si="3"/>
        <v>0</v>
      </c>
      <c r="S29" s="4">
        <f t="shared" si="4"/>
        <v>9.2045604992667014E-3</v>
      </c>
      <c r="T29" s="4">
        <f t="shared" si="5"/>
        <v>1.428988465624804E-2</v>
      </c>
      <c r="U29" s="4">
        <f t="shared" si="6"/>
        <v>1.9294617450496366E-2</v>
      </c>
      <c r="V29" s="4">
        <f t="shared" si="7"/>
        <v>2.1111728051185327E-2</v>
      </c>
      <c r="X29" s="5">
        <v>0</v>
      </c>
      <c r="Y29" s="5">
        <f t="shared" ref="Y29:Y30" si="16">(T29-S29)/S29</f>
        <v>0.55247875847917671</v>
      </c>
      <c r="Z29" s="5">
        <f t="shared" ref="Z29:Z30" si="17">(U29-T29)/T29</f>
        <v>0.3502290546523118</v>
      </c>
      <c r="AA29" s="5">
        <f t="shared" ref="AA29:AA30" si="18">(V29-U29)/U29</f>
        <v>9.4177073235635178E-2</v>
      </c>
    </row>
    <row r="30" spans="1:27" x14ac:dyDescent="0.25">
      <c r="A30" t="s">
        <v>42</v>
      </c>
      <c r="B30">
        <v>6</v>
      </c>
      <c r="C30">
        <v>124423</v>
      </c>
      <c r="D30">
        <v>637.20000000000005</v>
      </c>
      <c r="E30">
        <v>0.72727272727272729</v>
      </c>
      <c r="F30">
        <v>0.13383902223668509</v>
      </c>
      <c r="G30">
        <v>8.7627666579204039E-2</v>
      </c>
      <c r="H30">
        <v>4.5094711633048511E-4</v>
      </c>
      <c r="I30">
        <v>5.4558858408117737E-4</v>
      </c>
      <c r="J30">
        <v>0</v>
      </c>
      <c r="K30">
        <v>174004</v>
      </c>
      <c r="L30">
        <v>280979</v>
      </c>
      <c r="M30">
        <v>384621</v>
      </c>
      <c r="N30">
        <v>408107</v>
      </c>
      <c r="O30" s="15">
        <f t="shared" si="1"/>
        <v>5.9472848311826131E-4</v>
      </c>
      <c r="R30" s="4">
        <f t="shared" si="3"/>
        <v>0</v>
      </c>
      <c r="S30" s="4">
        <f t="shared" si="4"/>
        <v>1.5953605780426951E-2</v>
      </c>
      <c r="T30" s="4">
        <f t="shared" si="5"/>
        <v>2.5761638804731986E-2</v>
      </c>
      <c r="U30" s="4">
        <f t="shared" si="6"/>
        <v>3.526408478468078E-2</v>
      </c>
      <c r="V30" s="4">
        <f t="shared" si="7"/>
        <v>3.7417405313858891E-2</v>
      </c>
      <c r="X30" s="5">
        <v>0</v>
      </c>
      <c r="Y30" s="5">
        <f t="shared" si="16"/>
        <v>0.61478471759269904</v>
      </c>
      <c r="Z30" s="5">
        <f t="shared" si="17"/>
        <v>0.3688603062862349</v>
      </c>
      <c r="AA30" s="5">
        <f t="shared" si="18"/>
        <v>6.1062708484456239E-2</v>
      </c>
    </row>
    <row r="31" spans="1:27" x14ac:dyDescent="0.25">
      <c r="A31" t="s">
        <v>43</v>
      </c>
      <c r="B31">
        <v>1</v>
      </c>
      <c r="C31">
        <v>20800</v>
      </c>
      <c r="D31">
        <v>0</v>
      </c>
      <c r="E31">
        <v>0.1212121212121212</v>
      </c>
      <c r="F31">
        <v>2.2374092109361209E-2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s="15">
        <f t="shared" si="1"/>
        <v>0</v>
      </c>
      <c r="R31" s="4"/>
      <c r="S31" s="4"/>
      <c r="T31" s="4"/>
      <c r="U31" s="4"/>
      <c r="V31" s="4"/>
    </row>
    <row r="32" spans="1:27" x14ac:dyDescent="0.25">
      <c r="A32" t="s">
        <v>44</v>
      </c>
      <c r="B32">
        <v>1</v>
      </c>
      <c r="C32">
        <v>46666</v>
      </c>
      <c r="D32">
        <v>70.3</v>
      </c>
      <c r="E32">
        <v>0.1212121212121212</v>
      </c>
      <c r="F32">
        <v>5.0197566460358181E-2</v>
      </c>
      <c r="G32">
        <v>9.6676474584401172E-3</v>
      </c>
      <c r="H32">
        <v>4.9751384617126652E-5</v>
      </c>
      <c r="I32">
        <v>6.0192839706382243E-5</v>
      </c>
      <c r="J32">
        <v>0</v>
      </c>
      <c r="K32">
        <v>27178</v>
      </c>
      <c r="L32">
        <v>41721</v>
      </c>
      <c r="M32">
        <v>56106</v>
      </c>
      <c r="N32">
        <v>61944</v>
      </c>
      <c r="O32" s="15">
        <f t="shared" si="1"/>
        <v>8.9110294924446307E-5</v>
      </c>
      <c r="R32" s="4">
        <f t="shared" si="3"/>
        <v>0</v>
      </c>
      <c r="S32" s="4">
        <f t="shared" si="4"/>
        <v>2.4918225897131315E-3</v>
      </c>
      <c r="T32" s="4">
        <f t="shared" si="5"/>
        <v>3.8252016434403399E-3</v>
      </c>
      <c r="U32" s="4">
        <f t="shared" si="6"/>
        <v>5.1440944226376099E-3</v>
      </c>
      <c r="V32" s="4">
        <f t="shared" si="7"/>
        <v>5.6793530979906623E-3</v>
      </c>
      <c r="X32" s="5">
        <v>0</v>
      </c>
      <c r="Y32" s="5">
        <f t="shared" ref="Y32:Y33" si="19">(T32-S32)/S32</f>
        <v>0.53510192067113105</v>
      </c>
      <c r="Z32" s="5">
        <f t="shared" ref="Z32:Z33" si="20">(U32-T32)/T32</f>
        <v>0.34479039332710154</v>
      </c>
      <c r="AA32" s="5">
        <f t="shared" ref="AA32:AA33" si="21">(V32-U32)/U32</f>
        <v>0.10405304245535234</v>
      </c>
    </row>
    <row r="33" spans="1:27" x14ac:dyDescent="0.25">
      <c r="A33" t="s">
        <v>45</v>
      </c>
      <c r="B33">
        <v>5</v>
      </c>
      <c r="C33">
        <v>547998</v>
      </c>
      <c r="D33">
        <v>8133.7000000000007</v>
      </c>
      <c r="E33">
        <v>0.60606060606060608</v>
      </c>
      <c r="F33">
        <v>0.58946912152623665</v>
      </c>
      <c r="G33">
        <v>1.1185454357427369</v>
      </c>
      <c r="H33">
        <v>5.7562281231909396E-3</v>
      </c>
      <c r="I33">
        <v>6.964302991746817E-3</v>
      </c>
      <c r="J33">
        <v>317537</v>
      </c>
      <c r="K33">
        <v>3104394</v>
      </c>
      <c r="L33">
        <v>6141096</v>
      </c>
      <c r="M33">
        <v>5384194</v>
      </c>
      <c r="N33">
        <v>4457853</v>
      </c>
      <c r="O33" s="15">
        <f t="shared" si="1"/>
        <v>9.2495379337183131E-3</v>
      </c>
      <c r="R33" s="4">
        <f t="shared" si="3"/>
        <v>2.9113469338057939E-2</v>
      </c>
      <c r="S33" s="4">
        <f t="shared" si="4"/>
        <v>0.28462723881705448</v>
      </c>
      <c r="T33" s="4">
        <f t="shared" si="5"/>
        <v>0.56304811753613038</v>
      </c>
      <c r="U33" s="4">
        <f t="shared" si="6"/>
        <v>0.49365134434461344</v>
      </c>
      <c r="V33" s="4">
        <f t="shared" si="7"/>
        <v>0.4087195086842465</v>
      </c>
      <c r="X33" s="5">
        <f t="shared" ref="X33" si="22">(S33-R33)/R33</f>
        <v>8.7764795913547076</v>
      </c>
      <c r="Y33" s="5">
        <f t="shared" si="19"/>
        <v>0.97819477811128341</v>
      </c>
      <c r="Z33" s="5">
        <f t="shared" si="20"/>
        <v>-0.12325194069592782</v>
      </c>
      <c r="AA33" s="5">
        <f t="shared" si="21"/>
        <v>-0.17204822114507767</v>
      </c>
    </row>
    <row r="34" spans="1:27" x14ac:dyDescent="0.25">
      <c r="A34" t="s">
        <v>46</v>
      </c>
      <c r="B34">
        <v>1</v>
      </c>
      <c r="C34">
        <v>352622</v>
      </c>
      <c r="D34">
        <v>3091.9</v>
      </c>
      <c r="E34">
        <v>0.1212121212121212</v>
      </c>
      <c r="F34">
        <v>0.3793075532589984</v>
      </c>
      <c r="G34">
        <v>0.42519771232931719</v>
      </c>
      <c r="H34">
        <v>2.1881409117737402E-3</v>
      </c>
      <c r="I34">
        <v>2.647371850471739E-3</v>
      </c>
      <c r="O34" s="15">
        <f t="shared" si="1"/>
        <v>0</v>
      </c>
      <c r="R34" s="4"/>
      <c r="S34" s="4"/>
      <c r="T34" s="4"/>
      <c r="U34" s="4"/>
      <c r="V34" s="4"/>
    </row>
    <row r="35" spans="1:27" x14ac:dyDescent="0.25">
      <c r="A35" t="s">
        <v>47</v>
      </c>
      <c r="B35">
        <v>12</v>
      </c>
      <c r="C35">
        <v>2260082</v>
      </c>
      <c r="D35">
        <v>1003.3</v>
      </c>
      <c r="E35">
        <v>1.454545454545455</v>
      </c>
      <c r="F35">
        <v>2.431119367437947</v>
      </c>
      <c r="G35">
        <v>0.13797369409748181</v>
      </c>
      <c r="H35">
        <v>7.1003647491270502E-4</v>
      </c>
      <c r="I35">
        <v>8.5905371376121336E-4</v>
      </c>
      <c r="J35">
        <v>17973</v>
      </c>
      <c r="K35">
        <v>360071</v>
      </c>
      <c r="L35">
        <v>675266</v>
      </c>
      <c r="M35">
        <v>624454</v>
      </c>
      <c r="N35">
        <v>534411</v>
      </c>
      <c r="O35" s="15">
        <f t="shared" si="1"/>
        <v>1.0544456866551145E-3</v>
      </c>
      <c r="R35" s="4">
        <f t="shared" si="3"/>
        <v>1.6478595704214479E-3</v>
      </c>
      <c r="S35" s="4">
        <f t="shared" si="4"/>
        <v>3.301321111563018E-2</v>
      </c>
      <c r="T35" s="4">
        <f t="shared" si="5"/>
        <v>6.1911953523630416E-2</v>
      </c>
      <c r="U35" s="4">
        <f t="shared" si="6"/>
        <v>5.7253240983027587E-2</v>
      </c>
      <c r="V35" s="4">
        <f t="shared" si="7"/>
        <v>4.8997623150753705E-2</v>
      </c>
      <c r="X35" s="5">
        <f t="shared" ref="X35:X49" si="23">(S35-R35)/R35</f>
        <v>19.033995437600847</v>
      </c>
      <c r="Y35" s="5">
        <f t="shared" ref="Y35:Y49" si="24">(T35-S35)/S35</f>
        <v>0.8753690244424015</v>
      </c>
      <c r="Z35" s="5">
        <f t="shared" ref="Z35:Z49" si="25">(U35-T35)/T35</f>
        <v>-7.5247383993863187E-2</v>
      </c>
      <c r="AA35" s="5">
        <f t="shared" ref="AA35:AA49" si="26">(V35-U35)/U35</f>
        <v>-0.14419476854980515</v>
      </c>
    </row>
    <row r="36" spans="1:27" x14ac:dyDescent="0.25">
      <c r="A36" t="s">
        <v>48</v>
      </c>
      <c r="B36">
        <v>1</v>
      </c>
      <c r="C36">
        <v>162547</v>
      </c>
      <c r="D36">
        <v>1018.5</v>
      </c>
      <c r="E36">
        <v>0.1212121212121212</v>
      </c>
      <c r="F36">
        <v>0.17484815144713151</v>
      </c>
      <c r="G36">
        <v>0.14006399625065799</v>
      </c>
      <c r="H36">
        <v>7.207935310461379E-4</v>
      </c>
      <c r="I36">
        <v>8.7206838180583655E-4</v>
      </c>
      <c r="J36">
        <v>92377</v>
      </c>
      <c r="K36">
        <v>506311</v>
      </c>
      <c r="L36">
        <v>930965</v>
      </c>
      <c r="M36">
        <v>817339</v>
      </c>
      <c r="N36">
        <v>705857</v>
      </c>
      <c r="O36" s="15">
        <f t="shared" si="1"/>
        <v>1.4551576887268773E-3</v>
      </c>
      <c r="R36" s="4">
        <f t="shared" si="3"/>
        <v>8.4696112800768976E-3</v>
      </c>
      <c r="S36" s="4">
        <f t="shared" si="4"/>
        <v>4.6421266731188654E-2</v>
      </c>
      <c r="T36" s="4">
        <f t="shared" si="5"/>
        <v>8.5355788403572205E-2</v>
      </c>
      <c r="U36" s="4">
        <f t="shared" si="6"/>
        <v>7.4937956569782221E-2</v>
      </c>
      <c r="V36" s="4">
        <f t="shared" si="7"/>
        <v>6.4716697980246596E-2</v>
      </c>
      <c r="X36" s="5">
        <f t="shared" si="23"/>
        <v>4.4809205754679198</v>
      </c>
      <c r="Y36" s="5">
        <f t="shared" si="24"/>
        <v>0.8387216552672172</v>
      </c>
      <c r="Z36" s="5">
        <f t="shared" si="25"/>
        <v>-0.12205184942505891</v>
      </c>
      <c r="AA36" s="5">
        <f t="shared" si="26"/>
        <v>-0.13639628110245561</v>
      </c>
    </row>
    <row r="37" spans="1:27" x14ac:dyDescent="0.25">
      <c r="A37" t="s">
        <v>49</v>
      </c>
      <c r="B37">
        <v>1</v>
      </c>
      <c r="C37">
        <v>9478</v>
      </c>
      <c r="D37">
        <v>29.3</v>
      </c>
      <c r="E37">
        <v>0.1212121212121212</v>
      </c>
      <c r="F37">
        <v>1.019527139483296E-2</v>
      </c>
      <c r="G37">
        <v>4.0293324400042024E-3</v>
      </c>
      <c r="H37">
        <v>2.0735641099314519E-5</v>
      </c>
      <c r="I37">
        <v>2.5087485112332851E-5</v>
      </c>
      <c r="J37">
        <v>0</v>
      </c>
      <c r="K37">
        <v>8917</v>
      </c>
      <c r="L37">
        <v>14176</v>
      </c>
      <c r="M37">
        <v>19302</v>
      </c>
      <c r="N37">
        <v>20729</v>
      </c>
      <c r="O37" s="15">
        <f t="shared" si="1"/>
        <v>3.0088410512015301E-5</v>
      </c>
      <c r="R37" s="4">
        <f t="shared" si="3"/>
        <v>0</v>
      </c>
      <c r="S37" s="4">
        <f t="shared" si="4"/>
        <v>8.1755765812318757E-4</v>
      </c>
      <c r="T37" s="4">
        <f t="shared" si="5"/>
        <v>1.2997305552937431E-3</v>
      </c>
      <c r="U37" s="4">
        <f t="shared" si="6"/>
        <v>1.7697093099802363E-3</v>
      </c>
      <c r="V37" s="4">
        <f t="shared" si="7"/>
        <v>1.90054420715886E-3</v>
      </c>
      <c r="X37" s="5">
        <v>0</v>
      </c>
      <c r="Y37" s="5">
        <f t="shared" si="24"/>
        <v>0.58977234495906694</v>
      </c>
      <c r="Z37" s="5">
        <f t="shared" si="25"/>
        <v>0.361597065462754</v>
      </c>
      <c r="AA37" s="5">
        <f t="shared" si="26"/>
        <v>7.3930162677442693E-2</v>
      </c>
    </row>
    <row r="38" spans="1:27" x14ac:dyDescent="0.25">
      <c r="A38" t="s">
        <v>50</v>
      </c>
      <c r="B38">
        <v>42</v>
      </c>
      <c r="C38">
        <v>3824466</v>
      </c>
      <c r="D38">
        <v>16342.3</v>
      </c>
      <c r="E38">
        <v>5.0909090909090908</v>
      </c>
      <c r="F38">
        <v>4.1138920458230874</v>
      </c>
      <c r="G38">
        <v>2.2473911103850059</v>
      </c>
      <c r="H38">
        <v>1.156546305588149E-2</v>
      </c>
      <c r="I38">
        <v>1.399273747273984E-2</v>
      </c>
      <c r="J38">
        <v>1041208</v>
      </c>
      <c r="K38">
        <v>4591714</v>
      </c>
      <c r="L38">
        <v>7685148</v>
      </c>
      <c r="M38">
        <v>8019607</v>
      </c>
      <c r="N38">
        <v>8027203</v>
      </c>
      <c r="O38" s="15">
        <f t="shared" si="1"/>
        <v>1.3996935619987135E-2</v>
      </c>
      <c r="R38" s="4">
        <f t="shared" si="3"/>
        <v>9.5463448928914202E-2</v>
      </c>
      <c r="S38" s="4">
        <f t="shared" si="4"/>
        <v>0.42099259219596885</v>
      </c>
      <c r="T38" s="4">
        <f t="shared" si="5"/>
        <v>0.70461496032411108</v>
      </c>
      <c r="U38" s="4">
        <f t="shared" si="6"/>
        <v>0.73527992800138187</v>
      </c>
      <c r="V38" s="4">
        <f t="shared" si="7"/>
        <v>0.73597636940220101</v>
      </c>
      <c r="X38" s="5">
        <f t="shared" si="23"/>
        <v>3.409987245583975</v>
      </c>
      <c r="Y38" s="5">
        <f t="shared" si="24"/>
        <v>0.67369918945300156</v>
      </c>
      <c r="Z38" s="5">
        <f t="shared" si="25"/>
        <v>4.352017683979547E-2</v>
      </c>
      <c r="AA38" s="5">
        <f t="shared" si="26"/>
        <v>9.4717858368879458E-4</v>
      </c>
    </row>
    <row r="39" spans="1:27" x14ac:dyDescent="0.25">
      <c r="A39" t="s">
        <v>51</v>
      </c>
      <c r="B39">
        <v>1</v>
      </c>
      <c r="C39">
        <v>31179</v>
      </c>
      <c r="D39">
        <v>158.19999999999999</v>
      </c>
      <c r="E39">
        <v>0.1212121212121212</v>
      </c>
      <c r="F39">
        <v>3.3538548936431392E-2</v>
      </c>
      <c r="G39">
        <v>2.175564477845272E-2</v>
      </c>
      <c r="H39">
        <v>1.1195830791507021E-4</v>
      </c>
      <c r="I39">
        <v>1.354552950433808E-4</v>
      </c>
      <c r="J39">
        <v>0</v>
      </c>
      <c r="K39">
        <v>52787</v>
      </c>
      <c r="L39">
        <v>82738</v>
      </c>
      <c r="M39">
        <v>112095</v>
      </c>
      <c r="N39">
        <v>121728</v>
      </c>
      <c r="O39" s="15">
        <f t="shared" si="1"/>
        <v>1.7605180669463005E-4</v>
      </c>
      <c r="R39" s="4">
        <f t="shared" si="3"/>
        <v>0</v>
      </c>
      <c r="S39" s="4">
        <f t="shared" si="4"/>
        <v>4.8397909722270611E-3</v>
      </c>
      <c r="T39" s="4">
        <f t="shared" si="5"/>
        <v>7.5858568484688006E-3</v>
      </c>
      <c r="U39" s="4">
        <f t="shared" si="6"/>
        <v>1.0277461667300517E-2</v>
      </c>
      <c r="V39" s="4">
        <f t="shared" si="7"/>
        <v>1.1160665987217605E-2</v>
      </c>
      <c r="X39" s="5">
        <v>0</v>
      </c>
      <c r="Y39" s="5">
        <f t="shared" si="24"/>
        <v>0.56739348703279213</v>
      </c>
      <c r="Z39" s="5">
        <f t="shared" si="25"/>
        <v>0.35481882569073453</v>
      </c>
      <c r="AA39" s="5">
        <f t="shared" si="26"/>
        <v>8.5936036397698465E-2</v>
      </c>
    </row>
    <row r="40" spans="1:27" x14ac:dyDescent="0.25">
      <c r="A40" t="s">
        <v>52</v>
      </c>
      <c r="B40">
        <v>2</v>
      </c>
      <c r="C40">
        <v>18418</v>
      </c>
      <c r="D40">
        <v>20.2</v>
      </c>
      <c r="E40">
        <v>0.2424242424242424</v>
      </c>
      <c r="F40">
        <v>1.9811828291837249E-2</v>
      </c>
      <c r="G40">
        <v>2.777901545668426E-3</v>
      </c>
      <c r="H40">
        <v>1.4295561440483049E-5</v>
      </c>
      <c r="I40">
        <v>1.7295808848775551E-5</v>
      </c>
      <c r="J40">
        <v>0</v>
      </c>
      <c r="K40">
        <v>2317</v>
      </c>
      <c r="L40">
        <v>4668</v>
      </c>
      <c r="M40">
        <v>6819</v>
      </c>
      <c r="N40">
        <v>6204</v>
      </c>
      <c r="O40" s="15">
        <f t="shared" si="1"/>
        <v>9.5369260110956551E-6</v>
      </c>
      <c r="R40" s="4">
        <f t="shared" si="3"/>
        <v>0</v>
      </c>
      <c r="S40" s="4">
        <f t="shared" si="4"/>
        <v>2.12434798011823E-4</v>
      </c>
      <c r="T40" s="4">
        <f t="shared" si="5"/>
        <v>4.2798689560603789E-4</v>
      </c>
      <c r="U40" s="4">
        <f t="shared" si="6"/>
        <v>6.2520193683324166E-4</v>
      </c>
      <c r="V40" s="4">
        <f t="shared" si="7"/>
        <v>5.6881548850468274E-4</v>
      </c>
      <c r="X40" s="5">
        <v>0</v>
      </c>
      <c r="Y40" s="5">
        <f t="shared" si="24"/>
        <v>1.0146741476046612</v>
      </c>
      <c r="Z40" s="5">
        <f t="shared" si="25"/>
        <v>0.46079691516709498</v>
      </c>
      <c r="AA40" s="5">
        <f t="shared" si="26"/>
        <v>-9.0189177298724069E-2</v>
      </c>
    </row>
    <row r="41" spans="1:27" x14ac:dyDescent="0.25">
      <c r="A41" t="s">
        <v>53</v>
      </c>
      <c r="B41">
        <v>11</v>
      </c>
      <c r="C41">
        <v>520126</v>
      </c>
      <c r="D41">
        <v>1355.5</v>
      </c>
      <c r="E41">
        <v>1.333333333333333</v>
      </c>
      <c r="F41">
        <v>0.5594878380996926</v>
      </c>
      <c r="G41">
        <v>0.18640819530463129</v>
      </c>
      <c r="H41">
        <v>9.5928878874132538E-4</v>
      </c>
      <c r="I41">
        <v>1.160617272005706E-3</v>
      </c>
      <c r="J41">
        <v>27855</v>
      </c>
      <c r="K41">
        <v>694585</v>
      </c>
      <c r="L41">
        <v>1295062</v>
      </c>
      <c r="M41">
        <v>1320991</v>
      </c>
      <c r="N41">
        <v>1171781</v>
      </c>
      <c r="O41" s="15">
        <f t="shared" si="1"/>
        <v>2.1498475323754721E-3</v>
      </c>
      <c r="R41" s="4">
        <f t="shared" si="3"/>
        <v>2.5538935255154638E-3</v>
      </c>
      <c r="S41" s="4">
        <f t="shared" si="4"/>
        <v>6.3683221483401845E-2</v>
      </c>
      <c r="T41" s="4">
        <f t="shared" si="5"/>
        <v>0.11873812446387032</v>
      </c>
      <c r="U41" s="4">
        <f t="shared" si="6"/>
        <v>0.12111543213657146</v>
      </c>
      <c r="V41" s="4">
        <f t="shared" si="7"/>
        <v>0.10743507123396287</v>
      </c>
      <c r="X41" s="5">
        <f t="shared" si="23"/>
        <v>23.935738646562555</v>
      </c>
      <c r="Y41" s="5">
        <f t="shared" si="24"/>
        <v>0.8645119027908752</v>
      </c>
      <c r="Z41" s="5">
        <f t="shared" si="25"/>
        <v>2.0021435267191776E-2</v>
      </c>
      <c r="AA41" s="5">
        <f t="shared" si="26"/>
        <v>-0.11295307840855838</v>
      </c>
    </row>
    <row r="42" spans="1:27" x14ac:dyDescent="0.25">
      <c r="A42" t="s">
        <v>54</v>
      </c>
      <c r="B42">
        <v>1</v>
      </c>
      <c r="C42">
        <v>202175</v>
      </c>
      <c r="D42">
        <v>56.5</v>
      </c>
      <c r="E42">
        <v>0.1212121212121212</v>
      </c>
      <c r="F42">
        <v>0.2174750996254857</v>
      </c>
      <c r="G42">
        <v>7.7698731351616883E-3</v>
      </c>
      <c r="H42">
        <v>3.9985109969667932E-5</v>
      </c>
      <c r="I42">
        <v>4.8376891086921711E-5</v>
      </c>
      <c r="J42">
        <v>1596</v>
      </c>
      <c r="K42">
        <v>22338</v>
      </c>
      <c r="L42">
        <v>44818</v>
      </c>
      <c r="M42">
        <v>34920</v>
      </c>
      <c r="N42">
        <v>25210</v>
      </c>
      <c r="O42" s="15">
        <f t="shared" si="1"/>
        <v>6.1432331975311394E-5</v>
      </c>
      <c r="R42" s="10">
        <f t="shared" si="3"/>
        <v>1.4632970980874816E-4</v>
      </c>
      <c r="S42" s="4">
        <f t="shared" si="4"/>
        <v>2.0480658256314642E-3</v>
      </c>
      <c r="T42" s="10">
        <f t="shared" si="5"/>
        <v>4.1091509612835057E-3</v>
      </c>
      <c r="U42" s="4">
        <f t="shared" si="6"/>
        <v>3.2016500416801293E-3</v>
      </c>
      <c r="V42" s="10">
        <f t="shared" si="7"/>
        <v>2.3113859550617428E-3</v>
      </c>
      <c r="X42" s="5">
        <f t="shared" si="23"/>
        <v>12.996240601503761</v>
      </c>
      <c r="Y42" s="5">
        <f t="shared" si="24"/>
        <v>1.006356880651804</v>
      </c>
      <c r="Z42" s="5">
        <f t="shared" si="25"/>
        <v>-0.22084876612075496</v>
      </c>
      <c r="AA42" s="5">
        <f t="shared" si="26"/>
        <v>-0.27806414662084766</v>
      </c>
    </row>
    <row r="43" spans="1:27" x14ac:dyDescent="0.25">
      <c r="A43" t="s">
        <v>55</v>
      </c>
      <c r="B43">
        <v>4</v>
      </c>
      <c r="C43">
        <v>353910</v>
      </c>
      <c r="D43">
        <v>2490.9</v>
      </c>
      <c r="E43">
        <v>0.48484848484848492</v>
      </c>
      <c r="F43">
        <v>0.38069302588577042</v>
      </c>
      <c r="G43">
        <v>0.34254826535175659</v>
      </c>
      <c r="H43">
        <v>1.7628125738662979E-3</v>
      </c>
      <c r="I43">
        <v>2.132778725812625E-3</v>
      </c>
      <c r="J43">
        <v>291290</v>
      </c>
      <c r="K43">
        <v>1247377</v>
      </c>
      <c r="L43">
        <v>2099963</v>
      </c>
      <c r="M43">
        <v>2171884</v>
      </c>
      <c r="N43">
        <v>2168320</v>
      </c>
      <c r="O43" s="15">
        <f t="shared" si="1"/>
        <v>3.8031562131554575E-3</v>
      </c>
      <c r="R43" s="4">
        <f t="shared" si="3"/>
        <v>2.6707005745733241E-2</v>
      </c>
      <c r="S43" s="4">
        <f t="shared" si="4"/>
        <v>0.11436611179956571</v>
      </c>
      <c r="T43" s="4">
        <f t="shared" si="5"/>
        <v>0.19253569949818811</v>
      </c>
      <c r="U43" s="4">
        <f t="shared" si="6"/>
        <v>0.19912979665304711</v>
      </c>
      <c r="V43" s="4">
        <f t="shared" si="7"/>
        <v>0.19880303030858698</v>
      </c>
      <c r="X43" s="5">
        <f t="shared" si="23"/>
        <v>3.2822513646194516</v>
      </c>
      <c r="Y43" s="5">
        <f t="shared" si="24"/>
        <v>0.6835030628270361</v>
      </c>
      <c r="Z43" s="5">
        <f t="shared" si="25"/>
        <v>3.4248698667547949E-2</v>
      </c>
      <c r="AA43" s="5">
        <f t="shared" si="26"/>
        <v>-1.6409716172686754E-3</v>
      </c>
    </row>
    <row r="44" spans="1:27" x14ac:dyDescent="0.25">
      <c r="A44" t="s">
        <v>56</v>
      </c>
      <c r="B44">
        <v>2</v>
      </c>
      <c r="C44">
        <v>43231</v>
      </c>
      <c r="D44">
        <v>60.7</v>
      </c>
      <c r="E44">
        <v>0.2424242424242424</v>
      </c>
      <c r="F44">
        <v>4.6502614229797803E-2</v>
      </c>
      <c r="G44">
        <v>8.3474566248551221E-3</v>
      </c>
      <c r="H44">
        <v>4.2957454427590151E-5</v>
      </c>
      <c r="I44">
        <v>5.1973049362409693E-5</v>
      </c>
      <c r="J44">
        <v>0</v>
      </c>
      <c r="K44">
        <v>18396</v>
      </c>
      <c r="L44">
        <v>29259</v>
      </c>
      <c r="M44">
        <v>39844</v>
      </c>
      <c r="N44">
        <v>42774</v>
      </c>
      <c r="O44" s="15">
        <f t="shared" si="1"/>
        <v>6.209535996818595E-5</v>
      </c>
      <c r="R44" s="4">
        <f t="shared" si="3"/>
        <v>0</v>
      </c>
      <c r="S44" s="4">
        <f t="shared" si="4"/>
        <v>1.6866424446376762E-3</v>
      </c>
      <c r="T44" s="4">
        <f t="shared" si="5"/>
        <v>2.6826196612118815E-3</v>
      </c>
      <c r="U44" s="4">
        <f t="shared" si="6"/>
        <v>3.653108369435941E-3</v>
      </c>
      <c r="V44" s="4">
        <f t="shared" si="7"/>
        <v>3.9217462452126534E-3</v>
      </c>
      <c r="X44" s="5">
        <v>0</v>
      </c>
      <c r="Y44" s="5">
        <f t="shared" si="24"/>
        <v>0.59050880626223101</v>
      </c>
      <c r="Z44" s="5">
        <f t="shared" si="25"/>
        <v>0.36176902833316232</v>
      </c>
      <c r="AA44" s="5">
        <f t="shared" si="26"/>
        <v>7.3536793494629202E-2</v>
      </c>
    </row>
    <row r="45" spans="1:27" x14ac:dyDescent="0.25">
      <c r="A45" t="s">
        <v>57</v>
      </c>
      <c r="B45">
        <v>4</v>
      </c>
      <c r="C45">
        <v>433592</v>
      </c>
      <c r="D45">
        <v>1549.9</v>
      </c>
      <c r="E45">
        <v>0.48484848484848492</v>
      </c>
      <c r="F45">
        <v>0.46640516085971839</v>
      </c>
      <c r="G45">
        <v>0.21314205968472741</v>
      </c>
      <c r="H45">
        <v>1.0968658750794399E-3</v>
      </c>
      <c r="I45">
        <v>1.32706802647115E-3</v>
      </c>
      <c r="J45">
        <v>78464</v>
      </c>
      <c r="K45">
        <v>550937</v>
      </c>
      <c r="L45">
        <v>967076</v>
      </c>
      <c r="M45">
        <v>1039392</v>
      </c>
      <c r="N45">
        <v>994550</v>
      </c>
      <c r="O45" s="15">
        <f t="shared" si="1"/>
        <v>1.7304596857394981E-3</v>
      </c>
      <c r="R45" s="4">
        <f t="shared" si="3"/>
        <v>7.1939939539057748E-3</v>
      </c>
      <c r="S45" s="4">
        <f t="shared" si="4"/>
        <v>5.0512814118359832E-2</v>
      </c>
      <c r="T45" s="4">
        <f t="shared" si="5"/>
        <v>8.866663561591788E-2</v>
      </c>
      <c r="U45" s="4">
        <f t="shared" si="6"/>
        <v>9.5296948457101738E-2</v>
      </c>
      <c r="V45" s="4">
        <f t="shared" si="7"/>
        <v>9.1185597049054198E-2</v>
      </c>
      <c r="X45" s="5">
        <f t="shared" si="23"/>
        <v>6.0215257952691674</v>
      </c>
      <c r="Y45" s="5">
        <f t="shared" si="24"/>
        <v>0.75532955673697699</v>
      </c>
      <c r="Z45" s="5">
        <f t="shared" si="25"/>
        <v>7.4777990561238239E-2</v>
      </c>
      <c r="AA45" s="5">
        <f t="shared" si="26"/>
        <v>-4.3142529478772125E-2</v>
      </c>
    </row>
    <row r="46" spans="1:27" x14ac:dyDescent="0.25">
      <c r="A46" t="s">
        <v>58</v>
      </c>
      <c r="B46">
        <v>2</v>
      </c>
      <c r="C46">
        <v>110281</v>
      </c>
      <c r="D46">
        <v>1171.5</v>
      </c>
      <c r="E46">
        <v>0.2424242424242424</v>
      </c>
      <c r="F46">
        <v>0.11862679095733</v>
      </c>
      <c r="G46">
        <v>0.1611045376609189</v>
      </c>
      <c r="H46">
        <v>8.290717934418758E-4</v>
      </c>
      <c r="I46">
        <v>1.0030712904128989E-3</v>
      </c>
      <c r="J46">
        <v>0</v>
      </c>
      <c r="K46">
        <v>268451</v>
      </c>
      <c r="L46">
        <v>448317</v>
      </c>
      <c r="M46">
        <v>620566</v>
      </c>
      <c r="N46">
        <v>641943</v>
      </c>
      <c r="O46" s="15">
        <f t="shared" si="1"/>
        <v>9.434335418064462E-4</v>
      </c>
      <c r="R46" s="4">
        <f t="shared" si="3"/>
        <v>0</v>
      </c>
      <c r="S46" s="4">
        <f t="shared" si="4"/>
        <v>2.4613005593902414E-2</v>
      </c>
      <c r="T46" s="4">
        <f t="shared" si="5"/>
        <v>4.110407049644646E-2</v>
      </c>
      <c r="U46" s="4">
        <f t="shared" si="6"/>
        <v>5.6896768607252894E-2</v>
      </c>
      <c r="V46" s="4">
        <f t="shared" si="7"/>
        <v>5.885672487704087E-2</v>
      </c>
      <c r="X46" s="5">
        <v>0</v>
      </c>
      <c r="Y46" s="5">
        <f t="shared" si="24"/>
        <v>0.67001426703569744</v>
      </c>
      <c r="Z46" s="5">
        <f t="shared" si="25"/>
        <v>0.38421251034424314</v>
      </c>
      <c r="AA46" s="5">
        <f t="shared" si="26"/>
        <v>3.4447584946645474E-2</v>
      </c>
    </row>
    <row r="47" spans="1:27" x14ac:dyDescent="0.25">
      <c r="A47" t="s">
        <v>59</v>
      </c>
      <c r="B47">
        <v>2</v>
      </c>
      <c r="C47">
        <v>110232</v>
      </c>
      <c r="D47">
        <v>847.3</v>
      </c>
      <c r="E47">
        <v>0.2424242424242424</v>
      </c>
      <c r="F47">
        <v>0.11857408275957231</v>
      </c>
      <c r="G47">
        <v>0.1165205930517256</v>
      </c>
      <c r="H47">
        <v>5.9963510933273693E-4</v>
      </c>
      <c r="I47">
        <v>7.2548212067165957E-4</v>
      </c>
      <c r="J47">
        <v>0</v>
      </c>
      <c r="K47">
        <v>239819</v>
      </c>
      <c r="L47">
        <v>387940</v>
      </c>
      <c r="M47">
        <v>531353</v>
      </c>
      <c r="N47">
        <v>563036</v>
      </c>
      <c r="O47" s="15">
        <f t="shared" si="1"/>
        <v>8.2087155418614363E-4</v>
      </c>
      <c r="R47" s="4">
        <f t="shared" si="3"/>
        <v>0</v>
      </c>
      <c r="S47" s="4">
        <f t="shared" si="4"/>
        <v>2.1987872604401115E-2</v>
      </c>
      <c r="T47" s="4">
        <f t="shared" si="5"/>
        <v>3.5568388235091335E-2</v>
      </c>
      <c r="U47" s="4">
        <f t="shared" si="6"/>
        <v>4.8717249558902109E-2</v>
      </c>
      <c r="V47" s="4">
        <f t="shared" si="7"/>
        <v>5.1622114343282163E-2</v>
      </c>
      <c r="X47" s="5">
        <v>0</v>
      </c>
      <c r="Y47" s="5">
        <f t="shared" si="24"/>
        <v>0.61763663429503091</v>
      </c>
      <c r="Z47" s="5">
        <f t="shared" si="25"/>
        <v>0.36967830076815988</v>
      </c>
      <c r="AA47" s="5">
        <f t="shared" si="26"/>
        <v>5.9627027606882779E-2</v>
      </c>
    </row>
    <row r="48" spans="1:27" x14ac:dyDescent="0.25">
      <c r="A48" t="s">
        <v>60</v>
      </c>
      <c r="B48">
        <v>1</v>
      </c>
      <c r="C48">
        <v>21097</v>
      </c>
      <c r="D48">
        <v>79.099999999999994</v>
      </c>
      <c r="E48">
        <v>0.1212121212121212</v>
      </c>
      <c r="F48">
        <v>2.2693568328422759E-2</v>
      </c>
      <c r="G48">
        <v>1.087782238922636E-2</v>
      </c>
      <c r="H48">
        <v>5.5979153957535103E-5</v>
      </c>
      <c r="I48">
        <v>6.7727647521690398E-5</v>
      </c>
      <c r="J48">
        <v>0</v>
      </c>
      <c r="K48">
        <v>16569</v>
      </c>
      <c r="L48">
        <v>28188</v>
      </c>
      <c r="M48">
        <v>39251</v>
      </c>
      <c r="N48">
        <v>40052</v>
      </c>
      <c r="O48" s="15">
        <f t="shared" si="1"/>
        <v>5.9133898487431379E-5</v>
      </c>
      <c r="R48" s="4">
        <f t="shared" si="3"/>
        <v>0</v>
      </c>
      <c r="S48" s="4">
        <f t="shared" si="4"/>
        <v>1.5191334347250303E-3</v>
      </c>
      <c r="T48" s="4">
        <f t="shared" si="5"/>
        <v>2.5844247243665373E-3</v>
      </c>
      <c r="U48" s="4">
        <f t="shared" si="6"/>
        <v>3.5987389973077535E-3</v>
      </c>
      <c r="V48" s="4">
        <f t="shared" si="7"/>
        <v>3.6721789080576325E-3</v>
      </c>
      <c r="X48" s="5">
        <v>0</v>
      </c>
      <c r="Y48" s="5">
        <f t="shared" si="24"/>
        <v>0.70124932102118431</v>
      </c>
      <c r="Z48" s="5">
        <f t="shared" si="25"/>
        <v>0.39247197388959837</v>
      </c>
      <c r="AA48" s="5">
        <f t="shared" si="26"/>
        <v>2.0407123385391371E-2</v>
      </c>
    </row>
    <row r="49" spans="1:27" x14ac:dyDescent="0.25">
      <c r="A49" t="s">
        <v>61</v>
      </c>
      <c r="B49">
        <v>16</v>
      </c>
      <c r="C49">
        <v>477064</v>
      </c>
      <c r="D49">
        <v>1422.8</v>
      </c>
      <c r="E49">
        <v>1.939393939393939</v>
      </c>
      <c r="F49">
        <v>0.5131670133682833</v>
      </c>
      <c r="G49">
        <v>0.19566328312757611</v>
      </c>
      <c r="H49">
        <v>1.0069170701742221E-3</v>
      </c>
      <c r="I49">
        <v>1.2182414272295971E-3</v>
      </c>
      <c r="J49">
        <v>916</v>
      </c>
      <c r="K49">
        <v>521214</v>
      </c>
      <c r="L49">
        <v>807144</v>
      </c>
      <c r="M49">
        <v>1088849</v>
      </c>
      <c r="N49">
        <v>1193776</v>
      </c>
      <c r="O49" s="15">
        <f t="shared" si="1"/>
        <v>1.7216320233181921E-3</v>
      </c>
      <c r="R49" s="4">
        <f t="shared" si="3"/>
        <v>8.3983718160910608E-5</v>
      </c>
      <c r="S49" s="4">
        <f t="shared" si="4"/>
        <v>4.7787652486376481E-2</v>
      </c>
      <c r="T49" s="4">
        <f t="shared" si="5"/>
        <v>7.4003225121473837E-2</v>
      </c>
      <c r="U49" s="4">
        <f t="shared" si="6"/>
        <v>9.9831427440818063E-2</v>
      </c>
      <c r="V49" s="4">
        <f t="shared" si="7"/>
        <v>0.10945168900792492</v>
      </c>
      <c r="X49" s="5">
        <f t="shared" si="23"/>
        <v>568.01091703056761</v>
      </c>
      <c r="Y49" s="5">
        <f t="shared" si="24"/>
        <v>0.54858465045067883</v>
      </c>
      <c r="Z49" s="5">
        <f t="shared" si="25"/>
        <v>0.3490145500678935</v>
      </c>
      <c r="AA49" s="5">
        <f t="shared" si="26"/>
        <v>9.6365060720081594E-2</v>
      </c>
    </row>
    <row r="51" spans="1:27" x14ac:dyDescent="0.25">
      <c r="J51" s="17">
        <v>72786076</v>
      </c>
      <c r="K51" s="17">
        <v>2025164561</v>
      </c>
      <c r="R51" s="4">
        <f>SUM(J2:J15)/SUM($C$2:$C$15)</f>
        <v>1.4458264465670254</v>
      </c>
      <c r="S51" s="4">
        <f>SUM(K2:K15)/SUM($C$2:$C$15)</f>
        <v>6.358855887957664</v>
      </c>
      <c r="T51" s="4">
        <f>SUM(L2:L15)/SUM($C$2:$C$15)</f>
        <v>11.014352982376801</v>
      </c>
      <c r="U51" s="4">
        <f>SUM(M2:M15)/SUM($C$2:$C$15)</f>
        <v>10.808572200614419</v>
      </c>
      <c r="V51" s="4">
        <f>SUM(N2:N15)/SUM($C$2:$C$15)</f>
        <v>10.319666963800669</v>
      </c>
      <c r="X51" s="5">
        <f t="shared" ref="X51:AA51" si="27">(S51-R51)/R51</f>
        <v>3.3980768943991517</v>
      </c>
      <c r="Y51" s="5">
        <f t="shared" si="27"/>
        <v>0.73212810235810966</v>
      </c>
      <c r="Z51" s="5">
        <f t="shared" si="27"/>
        <v>-1.8682965952846745E-2</v>
      </c>
      <c r="AA51" s="5">
        <f t="shared" si="27"/>
        <v>-4.5233100888751779E-2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9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</row>
    <row r="2" spans="1:11" x14ac:dyDescent="0.25">
      <c r="A2" t="s">
        <v>14</v>
      </c>
      <c r="B2">
        <v>1</v>
      </c>
      <c r="C2">
        <v>25772</v>
      </c>
      <c r="D2">
        <v>25772</v>
      </c>
      <c r="E2">
        <v>25772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15</v>
      </c>
      <c r="B3">
        <v>1</v>
      </c>
      <c r="C3">
        <v>46350</v>
      </c>
      <c r="D3">
        <v>46350</v>
      </c>
      <c r="E3">
        <v>46350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16</v>
      </c>
      <c r="B4">
        <v>206</v>
      </c>
      <c r="C4">
        <v>36345.75</v>
      </c>
      <c r="D4">
        <v>74562</v>
      </c>
      <c r="E4">
        <v>123244.75</v>
      </c>
      <c r="F4">
        <v>73</v>
      </c>
      <c r="G4">
        <v>55</v>
      </c>
      <c r="H4">
        <v>66</v>
      </c>
      <c r="I4">
        <v>11</v>
      </c>
      <c r="J4">
        <v>1</v>
      </c>
      <c r="K4">
        <v>0</v>
      </c>
    </row>
    <row r="5" spans="1:11" x14ac:dyDescent="0.25">
      <c r="A5" t="s">
        <v>17</v>
      </c>
      <c r="B5">
        <v>4</v>
      </c>
      <c r="C5">
        <v>29915</v>
      </c>
      <c r="D5">
        <v>60260</v>
      </c>
      <c r="E5">
        <v>102000</v>
      </c>
      <c r="F5">
        <v>2</v>
      </c>
      <c r="G5">
        <v>1</v>
      </c>
      <c r="H5">
        <v>1</v>
      </c>
      <c r="I5">
        <v>0</v>
      </c>
      <c r="J5">
        <v>0</v>
      </c>
      <c r="K5">
        <v>0</v>
      </c>
    </row>
    <row r="6" spans="1:11" x14ac:dyDescent="0.25">
      <c r="A6" t="s">
        <v>18</v>
      </c>
      <c r="B6">
        <v>1</v>
      </c>
      <c r="C6">
        <v>155632</v>
      </c>
      <c r="D6">
        <v>155632</v>
      </c>
      <c r="E6">
        <v>155632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</row>
    <row r="7" spans="1:11" x14ac:dyDescent="0.25">
      <c r="A7" t="s">
        <v>19</v>
      </c>
      <c r="B7">
        <v>2</v>
      </c>
      <c r="C7">
        <v>483985.75</v>
      </c>
      <c r="D7">
        <v>571889.5</v>
      </c>
      <c r="E7">
        <v>659793.25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</row>
    <row r="8" spans="1:11" x14ac:dyDescent="0.25">
      <c r="A8" t="s">
        <v>20</v>
      </c>
      <c r="B8">
        <v>2</v>
      </c>
      <c r="C8">
        <v>28653.75</v>
      </c>
      <c r="D8">
        <v>28961.5</v>
      </c>
      <c r="E8">
        <v>29269.25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21</v>
      </c>
      <c r="B9">
        <v>6</v>
      </c>
      <c r="C9">
        <v>16323</v>
      </c>
      <c r="D9">
        <v>16910.5</v>
      </c>
      <c r="E9">
        <v>18583.25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22</v>
      </c>
      <c r="B10">
        <v>7</v>
      </c>
      <c r="C10">
        <v>23836</v>
      </c>
      <c r="D10">
        <v>59701</v>
      </c>
      <c r="E10">
        <v>106241.5</v>
      </c>
      <c r="F10">
        <v>3</v>
      </c>
      <c r="G10">
        <v>2</v>
      </c>
      <c r="H10">
        <v>2</v>
      </c>
      <c r="I10">
        <v>0</v>
      </c>
      <c r="J10">
        <v>0</v>
      </c>
      <c r="K10">
        <v>0</v>
      </c>
    </row>
    <row r="11" spans="1:11" x14ac:dyDescent="0.25">
      <c r="A11" t="s">
        <v>23</v>
      </c>
      <c r="B11">
        <v>1</v>
      </c>
      <c r="C11">
        <v>30000</v>
      </c>
      <c r="D11">
        <v>30000</v>
      </c>
      <c r="E11">
        <v>30000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24</v>
      </c>
      <c r="B12">
        <v>2</v>
      </c>
      <c r="C12">
        <v>433256</v>
      </c>
      <c r="D12">
        <v>506262</v>
      </c>
      <c r="E12">
        <v>579268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</row>
    <row r="13" spans="1:11" x14ac:dyDescent="0.25">
      <c r="A13" t="s">
        <v>25</v>
      </c>
      <c r="B13">
        <v>19</v>
      </c>
      <c r="C13">
        <v>38426.5</v>
      </c>
      <c r="D13">
        <v>84930</v>
      </c>
      <c r="E13">
        <v>178121</v>
      </c>
      <c r="F13">
        <v>6</v>
      </c>
      <c r="G13">
        <v>4</v>
      </c>
      <c r="H13">
        <v>5</v>
      </c>
      <c r="I13">
        <v>4</v>
      </c>
      <c r="J13">
        <v>0</v>
      </c>
      <c r="K13">
        <v>0</v>
      </c>
    </row>
    <row r="14" spans="1:11" x14ac:dyDescent="0.25">
      <c r="A14" t="s">
        <v>26</v>
      </c>
      <c r="B14">
        <v>39</v>
      </c>
      <c r="C14">
        <v>6469.5</v>
      </c>
      <c r="D14">
        <v>55000</v>
      </c>
      <c r="E14">
        <v>93254</v>
      </c>
      <c r="F14">
        <v>18</v>
      </c>
      <c r="G14">
        <v>12</v>
      </c>
      <c r="H14">
        <v>8</v>
      </c>
      <c r="I14">
        <v>1</v>
      </c>
      <c r="J14">
        <v>0</v>
      </c>
      <c r="K14">
        <v>0</v>
      </c>
    </row>
    <row r="15" spans="1:11" x14ac:dyDescent="0.25">
      <c r="A15" t="s">
        <v>27</v>
      </c>
      <c r="B15">
        <v>65</v>
      </c>
      <c r="C15">
        <v>53329</v>
      </c>
      <c r="D15">
        <v>122410</v>
      </c>
      <c r="E15">
        <v>245405</v>
      </c>
      <c r="F15">
        <v>12</v>
      </c>
      <c r="G15">
        <v>18</v>
      </c>
      <c r="H15">
        <v>19</v>
      </c>
      <c r="I15">
        <v>15</v>
      </c>
      <c r="J15">
        <v>1</v>
      </c>
      <c r="K15">
        <v>0</v>
      </c>
    </row>
    <row r="16" spans="1:11" x14ac:dyDescent="0.25">
      <c r="A16" t="s">
        <v>28</v>
      </c>
      <c r="B16">
        <v>3</v>
      </c>
      <c r="C16">
        <v>10006.5</v>
      </c>
      <c r="D16">
        <v>15447</v>
      </c>
      <c r="E16">
        <v>67816</v>
      </c>
      <c r="F16">
        <v>2</v>
      </c>
      <c r="G16">
        <v>0</v>
      </c>
      <c r="H16">
        <v>1</v>
      </c>
      <c r="I16">
        <v>0</v>
      </c>
      <c r="J16">
        <v>0</v>
      </c>
      <c r="K16">
        <v>0</v>
      </c>
    </row>
    <row r="17" spans="1:11" x14ac:dyDescent="0.25">
      <c r="A17" t="s">
        <v>29</v>
      </c>
      <c r="B17">
        <v>1</v>
      </c>
      <c r="C17">
        <v>56000</v>
      </c>
      <c r="D17">
        <v>56000</v>
      </c>
      <c r="E17">
        <v>56000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30</v>
      </c>
      <c r="B18">
        <v>4</v>
      </c>
      <c r="C18">
        <v>32003</v>
      </c>
      <c r="D18">
        <v>50137</v>
      </c>
      <c r="E18">
        <v>88528</v>
      </c>
      <c r="F18">
        <v>2</v>
      </c>
      <c r="G18">
        <v>1</v>
      </c>
      <c r="H18">
        <v>1</v>
      </c>
      <c r="I18">
        <v>0</v>
      </c>
      <c r="J18">
        <v>0</v>
      </c>
      <c r="K18">
        <v>0</v>
      </c>
    </row>
    <row r="19" spans="1:11" x14ac:dyDescent="0.25">
      <c r="A19" t="s">
        <v>31</v>
      </c>
      <c r="B19">
        <v>3</v>
      </c>
      <c r="C19">
        <v>30392.5</v>
      </c>
      <c r="D19">
        <v>36212</v>
      </c>
      <c r="E19">
        <v>60719</v>
      </c>
      <c r="F19">
        <v>2</v>
      </c>
      <c r="G19">
        <v>1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32</v>
      </c>
      <c r="B20">
        <v>26</v>
      </c>
      <c r="C20">
        <v>41180</v>
      </c>
      <c r="D20">
        <v>60056.5</v>
      </c>
      <c r="E20">
        <v>201790.25</v>
      </c>
      <c r="F20">
        <v>9</v>
      </c>
      <c r="G20">
        <v>6</v>
      </c>
      <c r="H20">
        <v>7</v>
      </c>
      <c r="I20">
        <v>2</v>
      </c>
      <c r="J20">
        <v>2</v>
      </c>
      <c r="K20">
        <v>0</v>
      </c>
    </row>
    <row r="21" spans="1:11" x14ac:dyDescent="0.25">
      <c r="A21" t="s">
        <v>33</v>
      </c>
      <c r="B21">
        <v>1</v>
      </c>
      <c r="C21">
        <v>25800</v>
      </c>
      <c r="D21">
        <v>25800</v>
      </c>
      <c r="E21">
        <v>25800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 t="s">
        <v>34</v>
      </c>
      <c r="B22">
        <v>174</v>
      </c>
      <c r="C22">
        <v>48866.5</v>
      </c>
      <c r="D22">
        <v>91673</v>
      </c>
      <c r="E22">
        <v>188629.25</v>
      </c>
      <c r="F22">
        <v>49</v>
      </c>
      <c r="G22">
        <v>45</v>
      </c>
      <c r="H22">
        <v>53</v>
      </c>
      <c r="I22">
        <v>25</v>
      </c>
      <c r="J22">
        <v>2</v>
      </c>
      <c r="K22">
        <v>0</v>
      </c>
    </row>
    <row r="23" spans="1:11" x14ac:dyDescent="0.25">
      <c r="A23" t="s">
        <v>35</v>
      </c>
      <c r="B23">
        <v>3</v>
      </c>
      <c r="C23">
        <v>139792.5</v>
      </c>
      <c r="D23">
        <v>209788</v>
      </c>
      <c r="E23">
        <v>335171.5</v>
      </c>
      <c r="F23">
        <v>0</v>
      </c>
      <c r="G23">
        <v>1</v>
      </c>
      <c r="H23">
        <v>1</v>
      </c>
      <c r="I23">
        <v>1</v>
      </c>
      <c r="J23">
        <v>0</v>
      </c>
      <c r="K23">
        <v>0</v>
      </c>
    </row>
    <row r="24" spans="1:11" x14ac:dyDescent="0.25">
      <c r="A24" t="s">
        <v>36</v>
      </c>
      <c r="B24">
        <v>1</v>
      </c>
      <c r="C24">
        <v>60200</v>
      </c>
      <c r="D24">
        <v>60200</v>
      </c>
      <c r="E24">
        <v>60200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 t="s">
        <v>37</v>
      </c>
      <c r="B25">
        <v>122</v>
      </c>
      <c r="C25">
        <v>34501.5</v>
      </c>
      <c r="D25">
        <v>66234.5</v>
      </c>
      <c r="E25">
        <v>181853.5</v>
      </c>
      <c r="F25">
        <v>47</v>
      </c>
      <c r="G25">
        <v>25</v>
      </c>
      <c r="H25">
        <v>30</v>
      </c>
      <c r="I25">
        <v>20</v>
      </c>
      <c r="J25">
        <v>0</v>
      </c>
      <c r="K25">
        <v>0</v>
      </c>
    </row>
    <row r="26" spans="1:11" x14ac:dyDescent="0.25">
      <c r="A26" t="s">
        <v>38</v>
      </c>
      <c r="B26">
        <v>4</v>
      </c>
      <c r="C26">
        <v>27043.25</v>
      </c>
      <c r="D26">
        <v>44864</v>
      </c>
      <c r="E26">
        <v>71976.75</v>
      </c>
      <c r="F26">
        <v>2</v>
      </c>
      <c r="G26">
        <v>1</v>
      </c>
      <c r="H26">
        <v>1</v>
      </c>
      <c r="I26">
        <v>0</v>
      </c>
      <c r="J26">
        <v>0</v>
      </c>
      <c r="K26">
        <v>0</v>
      </c>
    </row>
    <row r="27" spans="1:11" x14ac:dyDescent="0.25">
      <c r="A27" t="s">
        <v>39</v>
      </c>
      <c r="B27">
        <v>1</v>
      </c>
      <c r="C27">
        <v>68991</v>
      </c>
      <c r="D27">
        <v>68991</v>
      </c>
      <c r="E27">
        <v>68991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 t="s">
        <v>40</v>
      </c>
      <c r="B28">
        <v>1</v>
      </c>
      <c r="C28">
        <v>3017</v>
      </c>
      <c r="D28">
        <v>3017</v>
      </c>
      <c r="E28">
        <v>3017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 t="s">
        <v>41</v>
      </c>
      <c r="B29">
        <v>2</v>
      </c>
      <c r="C29">
        <v>20761.5</v>
      </c>
      <c r="D29">
        <v>40762</v>
      </c>
      <c r="E29">
        <v>60762.5</v>
      </c>
      <c r="F29">
        <v>1</v>
      </c>
      <c r="G29">
        <v>1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 t="s">
        <v>42</v>
      </c>
      <c r="B30">
        <v>6</v>
      </c>
      <c r="C30">
        <v>15979</v>
      </c>
      <c r="D30">
        <v>19732</v>
      </c>
      <c r="E30">
        <v>26014</v>
      </c>
      <c r="F30">
        <v>6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5">
      <c r="A31" t="s">
        <v>43</v>
      </c>
      <c r="B31">
        <v>1</v>
      </c>
      <c r="C31">
        <v>20800</v>
      </c>
      <c r="D31">
        <v>20800</v>
      </c>
      <c r="E31">
        <v>20800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 t="s">
        <v>44</v>
      </c>
      <c r="B32">
        <v>1</v>
      </c>
      <c r="C32">
        <v>46666</v>
      </c>
      <c r="D32">
        <v>46666</v>
      </c>
      <c r="E32">
        <v>46666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 t="s">
        <v>45</v>
      </c>
      <c r="B33">
        <v>5</v>
      </c>
      <c r="C33">
        <v>90277</v>
      </c>
      <c r="D33">
        <v>121721</v>
      </c>
      <c r="E33">
        <v>142919</v>
      </c>
      <c r="F33">
        <v>1</v>
      </c>
      <c r="G33">
        <v>1</v>
      </c>
      <c r="H33">
        <v>3</v>
      </c>
      <c r="I33">
        <v>0</v>
      </c>
      <c r="J33">
        <v>0</v>
      </c>
      <c r="K33">
        <v>0</v>
      </c>
    </row>
    <row r="34" spans="1:11" x14ac:dyDescent="0.25">
      <c r="A34" t="s">
        <v>46</v>
      </c>
      <c r="B34">
        <v>1</v>
      </c>
      <c r="C34">
        <v>352622</v>
      </c>
      <c r="D34">
        <v>352622</v>
      </c>
      <c r="E34">
        <v>352622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</row>
    <row r="35" spans="1:11" x14ac:dyDescent="0.25">
      <c r="A35" t="s">
        <v>47</v>
      </c>
      <c r="B35">
        <v>12</v>
      </c>
      <c r="C35">
        <v>105109.75</v>
      </c>
      <c r="D35">
        <v>183212.5</v>
      </c>
      <c r="E35">
        <v>241594.25</v>
      </c>
      <c r="F35">
        <v>1</v>
      </c>
      <c r="G35">
        <v>2</v>
      </c>
      <c r="H35">
        <v>7</v>
      </c>
      <c r="I35">
        <v>2</v>
      </c>
      <c r="J35">
        <v>0</v>
      </c>
      <c r="K35">
        <v>0</v>
      </c>
    </row>
    <row r="36" spans="1:11" x14ac:dyDescent="0.25">
      <c r="A36" t="s">
        <v>48</v>
      </c>
      <c r="B36">
        <v>1</v>
      </c>
      <c r="C36">
        <v>162547</v>
      </c>
      <c r="D36">
        <v>162547</v>
      </c>
      <c r="E36">
        <v>162547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</row>
    <row r="37" spans="1:11" x14ac:dyDescent="0.25">
      <c r="A37" t="s">
        <v>49</v>
      </c>
      <c r="B37">
        <v>1</v>
      </c>
      <c r="C37">
        <v>9478</v>
      </c>
      <c r="D37">
        <v>9478</v>
      </c>
      <c r="E37">
        <v>9478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 t="s">
        <v>50</v>
      </c>
      <c r="B38">
        <v>42</v>
      </c>
      <c r="C38">
        <v>22389.25</v>
      </c>
      <c r="D38">
        <v>47059.5</v>
      </c>
      <c r="E38">
        <v>191422</v>
      </c>
      <c r="F38">
        <v>22</v>
      </c>
      <c r="G38">
        <v>7</v>
      </c>
      <c r="H38">
        <v>10</v>
      </c>
      <c r="I38">
        <v>3</v>
      </c>
      <c r="J38">
        <v>0</v>
      </c>
      <c r="K38">
        <v>0</v>
      </c>
    </row>
    <row r="39" spans="1:11" x14ac:dyDescent="0.25">
      <c r="A39" t="s">
        <v>51</v>
      </c>
      <c r="B39">
        <v>1</v>
      </c>
      <c r="C39">
        <v>31179</v>
      </c>
      <c r="D39">
        <v>31179</v>
      </c>
      <c r="E39">
        <v>31179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 t="s">
        <v>52</v>
      </c>
      <c r="B40">
        <v>2</v>
      </c>
      <c r="C40">
        <v>6560.5</v>
      </c>
      <c r="D40">
        <v>9209</v>
      </c>
      <c r="E40">
        <v>11857.5</v>
      </c>
      <c r="F40">
        <v>2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 t="s">
        <v>53</v>
      </c>
      <c r="B41">
        <v>11</v>
      </c>
      <c r="C41">
        <v>34714.5</v>
      </c>
      <c r="D41">
        <v>36543</v>
      </c>
      <c r="E41">
        <v>45250</v>
      </c>
      <c r="F41">
        <v>8</v>
      </c>
      <c r="G41">
        <v>2</v>
      </c>
      <c r="H41">
        <v>1</v>
      </c>
      <c r="I41">
        <v>0</v>
      </c>
      <c r="J41">
        <v>0</v>
      </c>
      <c r="K41">
        <v>0</v>
      </c>
    </row>
    <row r="42" spans="1:11" x14ac:dyDescent="0.25">
      <c r="A42" t="s">
        <v>54</v>
      </c>
      <c r="B42">
        <v>1</v>
      </c>
      <c r="C42">
        <v>202175</v>
      </c>
      <c r="D42">
        <v>202175</v>
      </c>
      <c r="E42">
        <v>202175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</row>
    <row r="43" spans="1:11" x14ac:dyDescent="0.25">
      <c r="A43" t="s">
        <v>55</v>
      </c>
      <c r="B43">
        <v>4</v>
      </c>
      <c r="C43">
        <v>57677.75</v>
      </c>
      <c r="D43">
        <v>70663.5</v>
      </c>
      <c r="E43">
        <v>101463.25</v>
      </c>
      <c r="F43">
        <v>1</v>
      </c>
      <c r="G43">
        <v>2</v>
      </c>
      <c r="H43">
        <v>1</v>
      </c>
      <c r="I43">
        <v>0</v>
      </c>
      <c r="J43">
        <v>0</v>
      </c>
      <c r="K43">
        <v>0</v>
      </c>
    </row>
    <row r="44" spans="1:11" x14ac:dyDescent="0.25">
      <c r="A44" t="s">
        <v>56</v>
      </c>
      <c r="B44">
        <v>2</v>
      </c>
      <c r="C44">
        <v>14468.25</v>
      </c>
      <c r="D44">
        <v>21615.5</v>
      </c>
      <c r="E44">
        <v>28762.75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 t="s">
        <v>57</v>
      </c>
      <c r="B45">
        <v>4</v>
      </c>
      <c r="C45">
        <v>56481.5</v>
      </c>
      <c r="D45">
        <v>63945.5</v>
      </c>
      <c r="E45">
        <v>115862</v>
      </c>
      <c r="F45">
        <v>1</v>
      </c>
      <c r="G45">
        <v>2</v>
      </c>
      <c r="H45">
        <v>0</v>
      </c>
      <c r="I45">
        <v>1</v>
      </c>
      <c r="J45">
        <v>0</v>
      </c>
      <c r="K45">
        <v>0</v>
      </c>
    </row>
    <row r="46" spans="1:11" x14ac:dyDescent="0.25">
      <c r="A46" t="s">
        <v>58</v>
      </c>
      <c r="B46">
        <v>2</v>
      </c>
      <c r="C46">
        <v>49656.75</v>
      </c>
      <c r="D46">
        <v>55140.5</v>
      </c>
      <c r="E46">
        <v>60624.25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</row>
    <row r="47" spans="1:11" x14ac:dyDescent="0.25">
      <c r="A47" t="s">
        <v>59</v>
      </c>
      <c r="B47">
        <v>2</v>
      </c>
      <c r="C47">
        <v>48168.5</v>
      </c>
      <c r="D47">
        <v>55116</v>
      </c>
      <c r="E47">
        <v>62063.5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 t="s">
        <v>60</v>
      </c>
      <c r="B48">
        <v>1</v>
      </c>
      <c r="C48">
        <v>21097</v>
      </c>
      <c r="D48">
        <v>21097</v>
      </c>
      <c r="E48">
        <v>21097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 t="s">
        <v>61</v>
      </c>
      <c r="B49">
        <v>16</v>
      </c>
      <c r="C49">
        <v>21174.5</v>
      </c>
      <c r="D49">
        <v>28122.5</v>
      </c>
      <c r="E49">
        <v>35897.25</v>
      </c>
      <c r="F49">
        <v>15</v>
      </c>
      <c r="G49">
        <v>1</v>
      </c>
      <c r="H49">
        <v>0</v>
      </c>
      <c r="I49">
        <v>0</v>
      </c>
      <c r="J49">
        <v>0</v>
      </c>
      <c r="K4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9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</row>
    <row r="2" spans="1:14" x14ac:dyDescent="0.25">
      <c r="A2" t="s">
        <v>14</v>
      </c>
      <c r="B2">
        <v>1</v>
      </c>
      <c r="C2">
        <v>83.5</v>
      </c>
      <c r="D2">
        <v>83.5</v>
      </c>
      <c r="E2">
        <v>83.5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</row>
    <row r="3" spans="1:14" x14ac:dyDescent="0.25">
      <c r="A3" t="s">
        <v>15</v>
      </c>
      <c r="B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16</v>
      </c>
      <c r="B4">
        <v>195</v>
      </c>
      <c r="C4">
        <v>53.45</v>
      </c>
      <c r="D4">
        <v>96.2</v>
      </c>
      <c r="E4">
        <v>195.7</v>
      </c>
      <c r="F4">
        <v>4</v>
      </c>
      <c r="G4">
        <v>21</v>
      </c>
      <c r="H4">
        <v>38</v>
      </c>
      <c r="I4">
        <v>17</v>
      </c>
      <c r="J4">
        <v>21</v>
      </c>
      <c r="K4">
        <v>27</v>
      </c>
      <c r="L4">
        <v>29</v>
      </c>
      <c r="M4">
        <v>28</v>
      </c>
      <c r="N4">
        <v>10</v>
      </c>
    </row>
    <row r="5" spans="1:14" x14ac:dyDescent="0.25">
      <c r="A5" t="s">
        <v>17</v>
      </c>
      <c r="B5">
        <v>3</v>
      </c>
      <c r="C5">
        <v>185.15</v>
      </c>
      <c r="D5">
        <v>366.6</v>
      </c>
      <c r="E5">
        <v>473.9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</row>
    <row r="6" spans="1:14" x14ac:dyDescent="0.25">
      <c r="A6" t="s">
        <v>18</v>
      </c>
      <c r="B6">
        <v>1</v>
      </c>
      <c r="C6">
        <v>202.3</v>
      </c>
      <c r="D6">
        <v>202.3</v>
      </c>
      <c r="E6">
        <v>202.3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</row>
    <row r="7" spans="1:14" x14ac:dyDescent="0.25">
      <c r="A7" t="s">
        <v>19</v>
      </c>
      <c r="B7">
        <v>2</v>
      </c>
      <c r="C7">
        <v>85.75</v>
      </c>
      <c r="D7">
        <v>88.5</v>
      </c>
      <c r="E7">
        <v>91.25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0</v>
      </c>
    </row>
    <row r="8" spans="1:14" x14ac:dyDescent="0.25">
      <c r="A8" t="s">
        <v>20</v>
      </c>
      <c r="B8">
        <v>2</v>
      </c>
      <c r="C8">
        <v>63.775000000000013</v>
      </c>
      <c r="D8">
        <v>69.349999999999994</v>
      </c>
      <c r="E8">
        <v>74.924999999999997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</row>
    <row r="9" spans="1:14" x14ac:dyDescent="0.25">
      <c r="A9" t="s">
        <v>21</v>
      </c>
      <c r="B9">
        <v>6</v>
      </c>
      <c r="C9">
        <v>41.924999999999997</v>
      </c>
      <c r="D9">
        <v>54.55</v>
      </c>
      <c r="E9">
        <v>67.849999999999994</v>
      </c>
      <c r="F9">
        <v>0</v>
      </c>
      <c r="G9">
        <v>1</v>
      </c>
      <c r="H9">
        <v>2</v>
      </c>
      <c r="I9">
        <v>2</v>
      </c>
      <c r="J9">
        <v>0</v>
      </c>
      <c r="K9">
        <v>1</v>
      </c>
      <c r="L9">
        <v>0</v>
      </c>
      <c r="M9">
        <v>0</v>
      </c>
      <c r="N9">
        <v>0</v>
      </c>
    </row>
    <row r="10" spans="1:14" x14ac:dyDescent="0.25">
      <c r="A10" t="s">
        <v>22</v>
      </c>
      <c r="B10">
        <v>7</v>
      </c>
      <c r="C10">
        <v>73.150000000000006</v>
      </c>
      <c r="D10">
        <v>93.8</v>
      </c>
      <c r="E10">
        <v>106.8</v>
      </c>
      <c r="F10">
        <v>0</v>
      </c>
      <c r="G10">
        <v>1</v>
      </c>
      <c r="H10">
        <v>1</v>
      </c>
      <c r="I10">
        <v>0</v>
      </c>
      <c r="J10">
        <v>3</v>
      </c>
      <c r="K10">
        <v>2</v>
      </c>
      <c r="L10">
        <v>0</v>
      </c>
      <c r="M10">
        <v>0</v>
      </c>
      <c r="N10">
        <v>0</v>
      </c>
    </row>
    <row r="11" spans="1:14" x14ac:dyDescent="0.25">
      <c r="A11" t="s">
        <v>23</v>
      </c>
      <c r="B11">
        <v>1</v>
      </c>
      <c r="C11">
        <v>479.1</v>
      </c>
      <c r="D11">
        <v>479.1</v>
      </c>
      <c r="E11">
        <v>479.1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</row>
    <row r="12" spans="1:14" x14ac:dyDescent="0.25">
      <c r="A12" t="s">
        <v>24</v>
      </c>
      <c r="B12">
        <v>2</v>
      </c>
      <c r="C12">
        <v>287.5</v>
      </c>
      <c r="D12">
        <v>296.5</v>
      </c>
      <c r="E12">
        <v>305.5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</v>
      </c>
      <c r="N12">
        <v>0</v>
      </c>
    </row>
    <row r="13" spans="1:14" x14ac:dyDescent="0.25">
      <c r="A13" t="s">
        <v>25</v>
      </c>
      <c r="B13">
        <v>18</v>
      </c>
      <c r="C13">
        <v>56.225000000000001</v>
      </c>
      <c r="D13">
        <v>78.599999999999994</v>
      </c>
      <c r="E13">
        <v>99.025000000000006</v>
      </c>
      <c r="F13">
        <v>0</v>
      </c>
      <c r="G13">
        <v>3</v>
      </c>
      <c r="H13">
        <v>3</v>
      </c>
      <c r="I13">
        <v>3</v>
      </c>
      <c r="J13">
        <v>5</v>
      </c>
      <c r="K13">
        <v>3</v>
      </c>
      <c r="L13">
        <v>1</v>
      </c>
      <c r="M13">
        <v>0</v>
      </c>
      <c r="N13">
        <v>0</v>
      </c>
    </row>
    <row r="14" spans="1:14" x14ac:dyDescent="0.25">
      <c r="A14" t="s">
        <v>26</v>
      </c>
      <c r="B14">
        <v>37</v>
      </c>
      <c r="C14">
        <v>49.5</v>
      </c>
      <c r="D14">
        <v>65.2</v>
      </c>
      <c r="E14">
        <v>84.4</v>
      </c>
      <c r="F14">
        <v>2</v>
      </c>
      <c r="G14">
        <v>3</v>
      </c>
      <c r="H14">
        <v>10</v>
      </c>
      <c r="I14">
        <v>10</v>
      </c>
      <c r="J14">
        <v>7</v>
      </c>
      <c r="K14">
        <v>5</v>
      </c>
      <c r="L14">
        <v>0</v>
      </c>
      <c r="M14">
        <v>0</v>
      </c>
      <c r="N14">
        <v>0</v>
      </c>
    </row>
    <row r="15" spans="1:14" x14ac:dyDescent="0.25">
      <c r="A15" t="s">
        <v>27</v>
      </c>
      <c r="B15">
        <v>62</v>
      </c>
      <c r="C15">
        <v>196.57499999999999</v>
      </c>
      <c r="D15">
        <v>251.25</v>
      </c>
      <c r="E15">
        <v>347.82499999999999</v>
      </c>
      <c r="F15">
        <v>1</v>
      </c>
      <c r="G15">
        <v>0</v>
      </c>
      <c r="H15">
        <v>0</v>
      </c>
      <c r="I15">
        <v>3</v>
      </c>
      <c r="J15">
        <v>1</v>
      </c>
      <c r="K15">
        <v>2</v>
      </c>
      <c r="L15">
        <v>23</v>
      </c>
      <c r="M15">
        <v>29</v>
      </c>
      <c r="N15">
        <v>3</v>
      </c>
    </row>
    <row r="16" spans="1:14" x14ac:dyDescent="0.25">
      <c r="A16" t="s">
        <v>28</v>
      </c>
      <c r="B16">
        <v>3</v>
      </c>
      <c r="C16">
        <v>48.05</v>
      </c>
      <c r="D16">
        <v>59.3</v>
      </c>
      <c r="E16">
        <v>93.05</v>
      </c>
      <c r="F16">
        <v>0</v>
      </c>
      <c r="G16">
        <v>1</v>
      </c>
      <c r="H16">
        <v>1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</row>
    <row r="17" spans="1:14" x14ac:dyDescent="0.25">
      <c r="A17" t="s">
        <v>29</v>
      </c>
      <c r="B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30</v>
      </c>
      <c r="B18">
        <v>3</v>
      </c>
      <c r="C18">
        <v>35.6</v>
      </c>
      <c r="D18">
        <v>56.4</v>
      </c>
      <c r="E18">
        <v>284.75</v>
      </c>
      <c r="F18">
        <v>1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</row>
    <row r="19" spans="1:14" x14ac:dyDescent="0.25">
      <c r="A19" t="s">
        <v>31</v>
      </c>
      <c r="B19">
        <v>3</v>
      </c>
      <c r="C19">
        <v>94.050000000000011</v>
      </c>
      <c r="D19">
        <v>115.4</v>
      </c>
      <c r="E19">
        <v>168.3</v>
      </c>
      <c r="F19">
        <v>0</v>
      </c>
      <c r="G19">
        <v>0</v>
      </c>
      <c r="H19">
        <v>0</v>
      </c>
      <c r="I19">
        <v>1</v>
      </c>
      <c r="J19">
        <v>0</v>
      </c>
      <c r="K19">
        <v>1</v>
      </c>
      <c r="L19">
        <v>1</v>
      </c>
      <c r="M19">
        <v>0</v>
      </c>
      <c r="N19">
        <v>0</v>
      </c>
    </row>
    <row r="20" spans="1:14" x14ac:dyDescent="0.25">
      <c r="A20" t="s">
        <v>32</v>
      </c>
      <c r="B20">
        <v>25</v>
      </c>
      <c r="C20">
        <v>72.5</v>
      </c>
      <c r="D20">
        <v>164.6</v>
      </c>
      <c r="E20">
        <v>289.2</v>
      </c>
      <c r="F20">
        <v>0</v>
      </c>
      <c r="G20">
        <v>4</v>
      </c>
      <c r="H20">
        <v>1</v>
      </c>
      <c r="I20">
        <v>3</v>
      </c>
      <c r="J20">
        <v>0</v>
      </c>
      <c r="K20">
        <v>4</v>
      </c>
      <c r="L20">
        <v>4</v>
      </c>
      <c r="M20">
        <v>9</v>
      </c>
      <c r="N20">
        <v>0</v>
      </c>
    </row>
    <row r="21" spans="1:14" x14ac:dyDescent="0.25">
      <c r="A21" t="s">
        <v>33</v>
      </c>
      <c r="B21">
        <v>1</v>
      </c>
      <c r="C21">
        <v>58.3</v>
      </c>
      <c r="D21">
        <v>58.3</v>
      </c>
      <c r="E21">
        <v>58.3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 t="s">
        <v>34</v>
      </c>
      <c r="B22">
        <v>164</v>
      </c>
      <c r="C22">
        <v>40.325000000000003</v>
      </c>
      <c r="D22">
        <v>56.9</v>
      </c>
      <c r="E22">
        <v>72.099999999999994</v>
      </c>
      <c r="F22">
        <v>11</v>
      </c>
      <c r="G22">
        <v>30</v>
      </c>
      <c r="H22">
        <v>52</v>
      </c>
      <c r="I22">
        <v>47</v>
      </c>
      <c r="J22">
        <v>16</v>
      </c>
      <c r="K22">
        <v>6</v>
      </c>
      <c r="L22">
        <v>2</v>
      </c>
      <c r="M22">
        <v>0</v>
      </c>
      <c r="N22">
        <v>0</v>
      </c>
    </row>
    <row r="23" spans="1:14" x14ac:dyDescent="0.25">
      <c r="A23" t="s">
        <v>35</v>
      </c>
      <c r="B23">
        <v>3</v>
      </c>
      <c r="C23">
        <v>74.95</v>
      </c>
      <c r="D23">
        <v>104.4</v>
      </c>
      <c r="E23">
        <v>105.75</v>
      </c>
      <c r="F23">
        <v>0</v>
      </c>
      <c r="G23">
        <v>0</v>
      </c>
      <c r="H23">
        <v>1</v>
      </c>
      <c r="I23">
        <v>0</v>
      </c>
      <c r="J23">
        <v>0</v>
      </c>
      <c r="K23">
        <v>2</v>
      </c>
      <c r="L23">
        <v>0</v>
      </c>
      <c r="M23">
        <v>0</v>
      </c>
      <c r="N23">
        <v>0</v>
      </c>
    </row>
    <row r="24" spans="1:14" x14ac:dyDescent="0.25">
      <c r="A24" t="s">
        <v>36</v>
      </c>
      <c r="B24">
        <v>1</v>
      </c>
      <c r="C24">
        <v>32.5</v>
      </c>
      <c r="D24">
        <v>32.5</v>
      </c>
      <c r="E24">
        <v>32.5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 t="s">
        <v>37</v>
      </c>
      <c r="B25">
        <v>115</v>
      </c>
      <c r="C25">
        <v>47.3</v>
      </c>
      <c r="D25">
        <v>63.8</v>
      </c>
      <c r="E25">
        <v>95.2</v>
      </c>
      <c r="F25">
        <v>3</v>
      </c>
      <c r="G25">
        <v>14</v>
      </c>
      <c r="H25">
        <v>30</v>
      </c>
      <c r="I25">
        <v>33</v>
      </c>
      <c r="J25">
        <v>9</v>
      </c>
      <c r="K25">
        <v>13</v>
      </c>
      <c r="L25">
        <v>7</v>
      </c>
      <c r="M25">
        <v>6</v>
      </c>
      <c r="N25">
        <v>0</v>
      </c>
    </row>
    <row r="26" spans="1:14" x14ac:dyDescent="0.25">
      <c r="A26" t="s">
        <v>38</v>
      </c>
      <c r="B26">
        <v>3</v>
      </c>
      <c r="C26">
        <v>61.8</v>
      </c>
      <c r="D26">
        <v>75.8</v>
      </c>
      <c r="E26">
        <v>81.199999999999989</v>
      </c>
      <c r="F26">
        <v>0</v>
      </c>
      <c r="G26">
        <v>0</v>
      </c>
      <c r="H26">
        <v>1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 t="s">
        <v>39</v>
      </c>
      <c r="B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 t="s">
        <v>40</v>
      </c>
      <c r="B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 t="s">
        <v>41</v>
      </c>
      <c r="B29">
        <v>2</v>
      </c>
      <c r="C29">
        <v>75.349999999999994</v>
      </c>
      <c r="D29">
        <v>84.4</v>
      </c>
      <c r="E29">
        <v>93.45</v>
      </c>
      <c r="F29">
        <v>0</v>
      </c>
      <c r="G29">
        <v>0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0</v>
      </c>
    </row>
    <row r="30" spans="1:14" x14ac:dyDescent="0.25">
      <c r="A30" t="s">
        <v>42</v>
      </c>
      <c r="B30">
        <v>6</v>
      </c>
      <c r="C30">
        <v>49.225000000000001</v>
      </c>
      <c r="D30">
        <v>87.2</v>
      </c>
      <c r="E30">
        <v>105</v>
      </c>
      <c r="F30">
        <v>0</v>
      </c>
      <c r="G30">
        <v>2</v>
      </c>
      <c r="H30">
        <v>0</v>
      </c>
      <c r="I30">
        <v>0</v>
      </c>
      <c r="J30">
        <v>2</v>
      </c>
      <c r="K30">
        <v>2</v>
      </c>
      <c r="L30">
        <v>0</v>
      </c>
      <c r="M30">
        <v>0</v>
      </c>
      <c r="N30">
        <v>0</v>
      </c>
    </row>
    <row r="31" spans="1:14" x14ac:dyDescent="0.25">
      <c r="A31" t="s">
        <v>43</v>
      </c>
      <c r="B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 t="s">
        <v>44</v>
      </c>
      <c r="B32">
        <v>1</v>
      </c>
      <c r="C32">
        <v>26.7</v>
      </c>
      <c r="D32">
        <v>26.7</v>
      </c>
      <c r="E32">
        <v>26.7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 t="s">
        <v>45</v>
      </c>
      <c r="B33">
        <v>5</v>
      </c>
      <c r="C33">
        <v>151.1</v>
      </c>
      <c r="D33">
        <v>211.2</v>
      </c>
      <c r="E33">
        <v>212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3</v>
      </c>
      <c r="M33">
        <v>1</v>
      </c>
      <c r="N33">
        <v>0</v>
      </c>
    </row>
    <row r="34" spans="1:14" x14ac:dyDescent="0.25">
      <c r="A34" t="s">
        <v>46</v>
      </c>
      <c r="B34">
        <v>1</v>
      </c>
      <c r="C34">
        <v>147.6</v>
      </c>
      <c r="D34">
        <v>147.6</v>
      </c>
      <c r="E34">
        <v>147.6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</row>
    <row r="35" spans="1:14" x14ac:dyDescent="0.25">
      <c r="A35" t="s">
        <v>47</v>
      </c>
      <c r="B35">
        <v>12</v>
      </c>
      <c r="C35">
        <v>3.95</v>
      </c>
      <c r="D35">
        <v>8.5500000000000007</v>
      </c>
      <c r="E35">
        <v>109.05</v>
      </c>
      <c r="F35">
        <v>8</v>
      </c>
      <c r="G35">
        <v>0</v>
      </c>
      <c r="H35">
        <v>0</v>
      </c>
      <c r="I35">
        <v>0</v>
      </c>
      <c r="J35">
        <v>1</v>
      </c>
      <c r="K35">
        <v>0</v>
      </c>
      <c r="L35">
        <v>1</v>
      </c>
      <c r="M35">
        <v>2</v>
      </c>
      <c r="N35">
        <v>0</v>
      </c>
    </row>
    <row r="36" spans="1:14" x14ac:dyDescent="0.25">
      <c r="A36" t="s">
        <v>48</v>
      </c>
      <c r="B36">
        <v>1</v>
      </c>
      <c r="C36">
        <v>137</v>
      </c>
      <c r="D36">
        <v>137</v>
      </c>
      <c r="E36">
        <v>137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</row>
    <row r="37" spans="1:14" x14ac:dyDescent="0.25">
      <c r="A37" t="s">
        <v>49</v>
      </c>
      <c r="B37">
        <v>1</v>
      </c>
      <c r="C37">
        <v>51.4</v>
      </c>
      <c r="D37">
        <v>51.4</v>
      </c>
      <c r="E37">
        <v>51.4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 t="s">
        <v>50</v>
      </c>
      <c r="B38">
        <v>41</v>
      </c>
      <c r="C38">
        <v>46.7</v>
      </c>
      <c r="D38">
        <v>56.2</v>
      </c>
      <c r="E38">
        <v>73.5</v>
      </c>
      <c r="F38">
        <v>1</v>
      </c>
      <c r="G38">
        <v>7</v>
      </c>
      <c r="H38">
        <v>16</v>
      </c>
      <c r="I38">
        <v>11</v>
      </c>
      <c r="J38">
        <v>5</v>
      </c>
      <c r="K38">
        <v>1</v>
      </c>
      <c r="L38">
        <v>0</v>
      </c>
      <c r="M38">
        <v>0</v>
      </c>
      <c r="N38">
        <v>0</v>
      </c>
    </row>
    <row r="39" spans="1:14" x14ac:dyDescent="0.25">
      <c r="A39" t="s">
        <v>51</v>
      </c>
      <c r="B39">
        <v>1</v>
      </c>
      <c r="C39">
        <v>86.4</v>
      </c>
      <c r="D39">
        <v>86.4</v>
      </c>
      <c r="E39">
        <v>86.4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 t="s">
        <v>52</v>
      </c>
      <c r="B40">
        <v>2</v>
      </c>
      <c r="C40">
        <v>4.9000000000000004</v>
      </c>
      <c r="D40">
        <v>9.8000000000000007</v>
      </c>
      <c r="E40">
        <v>14.7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 t="s">
        <v>53</v>
      </c>
      <c r="B41">
        <v>10</v>
      </c>
      <c r="C41">
        <v>45.45</v>
      </c>
      <c r="D41">
        <v>52.349999999999987</v>
      </c>
      <c r="E41">
        <v>81.825000000000003</v>
      </c>
      <c r="F41">
        <v>0</v>
      </c>
      <c r="G41">
        <v>2</v>
      </c>
      <c r="H41">
        <v>4</v>
      </c>
      <c r="I41">
        <v>1</v>
      </c>
      <c r="J41">
        <v>2</v>
      </c>
      <c r="K41">
        <v>0</v>
      </c>
      <c r="L41">
        <v>0</v>
      </c>
      <c r="M41">
        <v>1</v>
      </c>
      <c r="N41">
        <v>0</v>
      </c>
    </row>
    <row r="42" spans="1:14" x14ac:dyDescent="0.25">
      <c r="A42" t="s">
        <v>54</v>
      </c>
      <c r="B42">
        <v>1</v>
      </c>
      <c r="C42">
        <v>3.9</v>
      </c>
      <c r="D42">
        <v>3.9</v>
      </c>
      <c r="E42">
        <v>3.9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 t="s">
        <v>55</v>
      </c>
      <c r="B43">
        <v>3</v>
      </c>
      <c r="C43">
        <v>124.3</v>
      </c>
      <c r="D43">
        <v>173.8</v>
      </c>
      <c r="E43">
        <v>197.8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2</v>
      </c>
      <c r="M43">
        <v>0</v>
      </c>
      <c r="N43">
        <v>0</v>
      </c>
    </row>
    <row r="44" spans="1:14" x14ac:dyDescent="0.25">
      <c r="A44" t="s">
        <v>56</v>
      </c>
      <c r="B44">
        <v>2</v>
      </c>
      <c r="C44">
        <v>16.600000000000001</v>
      </c>
      <c r="D44">
        <v>19.5</v>
      </c>
      <c r="E44">
        <v>22.4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 t="s">
        <v>57</v>
      </c>
      <c r="B45">
        <v>4</v>
      </c>
      <c r="C45">
        <v>29.925000000000001</v>
      </c>
      <c r="D45">
        <v>59.9</v>
      </c>
      <c r="E45">
        <v>103.575</v>
      </c>
      <c r="F45">
        <v>1</v>
      </c>
      <c r="G45">
        <v>1</v>
      </c>
      <c r="H45">
        <v>0</v>
      </c>
      <c r="I45">
        <v>0</v>
      </c>
      <c r="J45">
        <v>1</v>
      </c>
      <c r="K45">
        <v>0</v>
      </c>
      <c r="L45">
        <v>1</v>
      </c>
      <c r="M45">
        <v>0</v>
      </c>
      <c r="N45">
        <v>0</v>
      </c>
    </row>
    <row r="46" spans="1:14" x14ac:dyDescent="0.25">
      <c r="A46" t="s">
        <v>58</v>
      </c>
      <c r="B46">
        <v>2</v>
      </c>
      <c r="C46">
        <v>157.47499999999999</v>
      </c>
      <c r="D46">
        <v>169.05</v>
      </c>
      <c r="E46">
        <v>180.625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1</v>
      </c>
      <c r="M46">
        <v>0</v>
      </c>
      <c r="N46">
        <v>0</v>
      </c>
    </row>
    <row r="47" spans="1:14" x14ac:dyDescent="0.25">
      <c r="A47" t="s">
        <v>59</v>
      </c>
      <c r="B47">
        <v>2</v>
      </c>
      <c r="C47">
        <v>159.1</v>
      </c>
      <c r="D47">
        <v>241</v>
      </c>
      <c r="E47">
        <v>322.89999999999998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1</v>
      </c>
      <c r="N47">
        <v>0</v>
      </c>
    </row>
    <row r="48" spans="1:14" x14ac:dyDescent="0.25">
      <c r="A48" t="s">
        <v>60</v>
      </c>
      <c r="B48">
        <v>1</v>
      </c>
      <c r="C48">
        <v>57</v>
      </c>
      <c r="D48">
        <v>57</v>
      </c>
      <c r="E48">
        <v>57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 t="s">
        <v>61</v>
      </c>
      <c r="B49">
        <v>13</v>
      </c>
      <c r="C49">
        <v>44.4</v>
      </c>
      <c r="D49">
        <v>49.7</v>
      </c>
      <c r="E49">
        <v>88.3</v>
      </c>
      <c r="F49">
        <v>0</v>
      </c>
      <c r="G49">
        <v>2</v>
      </c>
      <c r="H49">
        <v>6</v>
      </c>
      <c r="I49">
        <v>0</v>
      </c>
      <c r="J49">
        <v>3</v>
      </c>
      <c r="K49">
        <v>0</v>
      </c>
      <c r="L49">
        <v>0</v>
      </c>
      <c r="M49">
        <v>1</v>
      </c>
      <c r="N49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83132403D1464F8DDC272820BA8C1B" ma:contentTypeVersion="17" ma:contentTypeDescription="Create a new document." ma:contentTypeScope="" ma:versionID="6fe6f55e11da51139aa85f6a00701c7d">
  <xsd:schema xmlns:xsd="http://www.w3.org/2001/XMLSchema" xmlns:xs="http://www.w3.org/2001/XMLSchema" xmlns:p="http://schemas.microsoft.com/office/2006/metadata/properties" xmlns:ns2="d4fe9914-c092-4200-a7d8-cc85a6bef288" xmlns:ns3="afc29c3b-9522-4360-ba9d-c1dc5ac90a19" targetNamespace="http://schemas.microsoft.com/office/2006/metadata/properties" ma:root="true" ma:fieldsID="285f550d8d1fc9956465dc5fad4d328f" ns2:_="" ns3:_="">
    <xsd:import namespace="d4fe9914-c092-4200-a7d8-cc85a6bef288"/>
    <xsd:import namespace="afc29c3b-9522-4360-ba9d-c1dc5ac90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e9914-c092-4200-a7d8-cc85a6bef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be0bb2-3812-4b91-a213-01a8a1cc32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c29c3b-9522-4360-ba9d-c1dc5ac90a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bae1d6-1973-4eec-951a-e9b4547540f9}" ma:internalName="TaxCatchAll" ma:showField="CatchAllData" ma:web="afc29c3b-9522-4360-ba9d-c1dc5ac90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fe9914-c092-4200-a7d8-cc85a6bef288">
      <Terms xmlns="http://schemas.microsoft.com/office/infopath/2007/PartnerControls"/>
    </lcf76f155ced4ddcb4097134ff3c332f>
    <TaxCatchAll xmlns="afc29c3b-9522-4360-ba9d-c1dc5ac90a1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5D8513-2FA8-4693-B016-67AD278DB4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fe9914-c092-4200-a7d8-cc85a6bef288"/>
    <ds:schemaRef ds:uri="afc29c3b-9522-4360-ba9d-c1dc5ac90a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983A93-72D7-4F63-8C1E-74DB966742F9}">
  <ds:schemaRefs>
    <ds:schemaRef ds:uri="http://schemas.microsoft.com/office/2006/metadata/properties"/>
    <ds:schemaRef ds:uri="http://schemas.microsoft.com/office/infopath/2007/PartnerControls"/>
    <ds:schemaRef ds:uri="d4fe9914-c092-4200-a7d8-cc85a6bef288"/>
    <ds:schemaRef ds:uri="afc29c3b-9522-4360-ba9d-c1dc5ac90a19"/>
  </ds:schemaRefs>
</ds:datastoreItem>
</file>

<file path=customXml/itemProps3.xml><?xml version="1.0" encoding="utf-8"?>
<ds:datastoreItem xmlns:ds="http://schemas.openxmlformats.org/officeDocument/2006/customXml" ds:itemID="{9C6BFE49-C458-4CC1-BE04-08E33C179C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with Graphs</vt:lpstr>
      <vt:lpstr>Building Type Summary</vt:lpstr>
      <vt:lpstr>GFA Summary</vt:lpstr>
      <vt:lpstr>EUI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Donohue</cp:lastModifiedBy>
  <dcterms:created xsi:type="dcterms:W3CDTF">2024-09-03T18:14:20Z</dcterms:created>
  <dcterms:modified xsi:type="dcterms:W3CDTF">2024-09-17T19:54:00Z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0x0101005983132403D1464F8DDC272820BA8C1B</vt:lpwstr>
  </property>
  <property fmtid="{D5CDD505-2E9C-101B-9397-08002B2CF9AE}" pid="3" name="MediaServiceImageTags">
    <vt:lpwstr/>
  </property>
</Properties>
</file>