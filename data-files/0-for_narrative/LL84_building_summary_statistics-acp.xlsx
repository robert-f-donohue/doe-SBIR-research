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envienstudio.sharepoint.com/Shared Documents/Potential/DOE RD Submission/3 - Market Research/doe-SBIR-research-project/data-files/0-for_narrative/"/>
    </mc:Choice>
  </mc:AlternateContent>
  <xr:revisionPtr revIDLastSave="48" documentId="11_DF7ECDD54F75B9BF7F344F9885BE0011C693192A" xr6:coauthVersionLast="47" xr6:coauthVersionMax="47" xr10:uidLastSave="{7FDCEAC2-37F2-46A3-8DEB-5210FAA72493}"/>
  <bookViews>
    <workbookView xWindow="-14580" yWindow="60" windowWidth="14685" windowHeight="15585" activeTab="1" xr2:uid="{00000000-000D-0000-FFFF-FFFF00000000}"/>
  </bookViews>
  <sheets>
    <sheet name="Summary with Graphs" sheetId="1" r:id="rId1"/>
    <sheet name="Building Type Summary" sheetId="2" r:id="rId2"/>
    <sheet name="GFA Summary" sheetId="3" r:id="rId3"/>
    <sheet name="EUI Summ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2" l="1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2" i="2"/>
  <c r="Q18" i="2"/>
  <c r="R18" i="2"/>
  <c r="S18" i="2"/>
  <c r="T18" i="2"/>
  <c r="U18" i="2"/>
  <c r="Q19" i="2"/>
  <c r="R19" i="2"/>
  <c r="S19" i="2"/>
  <c r="T19" i="2"/>
  <c r="U19" i="2"/>
  <c r="Q21" i="2"/>
  <c r="R21" i="2"/>
  <c r="S21" i="2"/>
  <c r="T21" i="2"/>
  <c r="U21" i="2"/>
  <c r="Q24" i="2"/>
  <c r="R24" i="2"/>
  <c r="S24" i="2"/>
  <c r="T24" i="2"/>
  <c r="U24" i="2"/>
  <c r="Q25" i="2"/>
  <c r="R25" i="2"/>
  <c r="S25" i="2"/>
  <c r="T25" i="2"/>
  <c r="U25" i="2"/>
  <c r="Q26" i="2"/>
  <c r="R26" i="2"/>
  <c r="S26" i="2"/>
  <c r="T26" i="2"/>
  <c r="U26" i="2"/>
  <c r="Q27" i="2"/>
  <c r="R27" i="2"/>
  <c r="S27" i="2"/>
  <c r="T27" i="2"/>
  <c r="U27" i="2"/>
  <c r="Q28" i="2"/>
  <c r="R28" i="2"/>
  <c r="S28" i="2"/>
  <c r="T28" i="2"/>
  <c r="U28" i="2"/>
  <c r="Q29" i="2"/>
  <c r="R29" i="2"/>
  <c r="S29" i="2"/>
  <c r="T29" i="2"/>
  <c r="U29" i="2"/>
  <c r="Q30" i="2"/>
  <c r="R30" i="2"/>
  <c r="S30" i="2"/>
  <c r="T30" i="2"/>
  <c r="U30" i="2"/>
  <c r="Q31" i="2"/>
  <c r="R31" i="2"/>
  <c r="S31" i="2"/>
  <c r="T31" i="2"/>
  <c r="U31" i="2"/>
  <c r="Q33" i="2"/>
  <c r="R33" i="2"/>
  <c r="S33" i="2"/>
  <c r="T33" i="2"/>
  <c r="U33" i="2"/>
  <c r="Q34" i="2"/>
  <c r="R34" i="2"/>
  <c r="S34" i="2"/>
  <c r="T34" i="2"/>
  <c r="U34" i="2"/>
  <c r="Q35" i="2"/>
  <c r="R35" i="2"/>
  <c r="S35" i="2"/>
  <c r="T35" i="2"/>
  <c r="U35" i="2"/>
  <c r="Q36" i="2"/>
  <c r="R36" i="2"/>
  <c r="S36" i="2"/>
  <c r="T36" i="2"/>
  <c r="U36" i="2"/>
  <c r="Q37" i="2"/>
  <c r="R37" i="2"/>
  <c r="S37" i="2"/>
  <c r="T37" i="2"/>
  <c r="U37" i="2"/>
  <c r="Q38" i="2"/>
  <c r="R38" i="2"/>
  <c r="S38" i="2"/>
  <c r="T38" i="2"/>
  <c r="U38" i="2"/>
  <c r="Q39" i="2"/>
  <c r="R39" i="2"/>
  <c r="S39" i="2"/>
  <c r="T39" i="2"/>
  <c r="U39" i="2"/>
  <c r="Q40" i="2"/>
  <c r="R40" i="2"/>
  <c r="S40" i="2"/>
  <c r="T40" i="2"/>
  <c r="U40" i="2"/>
  <c r="Q41" i="2"/>
  <c r="R41" i="2"/>
  <c r="S41" i="2"/>
  <c r="T41" i="2"/>
  <c r="U41" i="2"/>
  <c r="Q42" i="2"/>
  <c r="R42" i="2"/>
  <c r="S42" i="2"/>
  <c r="T42" i="2"/>
  <c r="U42" i="2"/>
  <c r="Q43" i="2"/>
  <c r="R43" i="2"/>
  <c r="S43" i="2"/>
  <c r="T43" i="2"/>
  <c r="U43" i="2"/>
  <c r="Q44" i="2"/>
  <c r="R44" i="2"/>
  <c r="S44" i="2"/>
  <c r="T44" i="2"/>
  <c r="U44" i="2"/>
  <c r="Q45" i="2"/>
  <c r="R45" i="2"/>
  <c r="S45" i="2"/>
  <c r="T45" i="2"/>
  <c r="U45" i="2"/>
  <c r="Q46" i="2"/>
  <c r="R46" i="2"/>
  <c r="S46" i="2"/>
  <c r="T46" i="2"/>
  <c r="U46" i="2"/>
  <c r="Q47" i="2"/>
  <c r="R47" i="2"/>
  <c r="S47" i="2"/>
  <c r="T47" i="2"/>
  <c r="U47" i="2"/>
  <c r="Q49" i="2"/>
  <c r="R49" i="2"/>
  <c r="S49" i="2"/>
  <c r="T49" i="2"/>
  <c r="U49" i="2"/>
  <c r="Q50" i="2"/>
  <c r="R50" i="2"/>
  <c r="S50" i="2"/>
  <c r="T50" i="2"/>
  <c r="U50" i="2"/>
  <c r="Q51" i="2"/>
  <c r="R51" i="2"/>
  <c r="S51" i="2"/>
  <c r="T51" i="2"/>
  <c r="U51" i="2"/>
  <c r="Q52" i="2"/>
  <c r="R52" i="2"/>
  <c r="S52" i="2"/>
  <c r="T52" i="2"/>
  <c r="U52" i="2"/>
  <c r="Q53" i="2"/>
  <c r="R53" i="2"/>
  <c r="S53" i="2"/>
  <c r="T53" i="2"/>
  <c r="U53" i="2"/>
  <c r="Q54" i="2"/>
  <c r="R54" i="2"/>
  <c r="S54" i="2"/>
  <c r="T54" i="2"/>
  <c r="U54" i="2"/>
  <c r="Q55" i="2"/>
  <c r="R55" i="2"/>
  <c r="S55" i="2"/>
  <c r="T55" i="2"/>
  <c r="U55" i="2"/>
  <c r="Q56" i="2"/>
  <c r="R56" i="2"/>
  <c r="S56" i="2"/>
  <c r="T56" i="2"/>
  <c r="U56" i="2"/>
  <c r="Q57" i="2"/>
  <c r="R57" i="2"/>
  <c r="S57" i="2"/>
  <c r="T57" i="2"/>
  <c r="U57" i="2"/>
  <c r="Q58" i="2"/>
  <c r="R58" i="2"/>
  <c r="S58" i="2"/>
  <c r="T58" i="2"/>
  <c r="U58" i="2"/>
  <c r="Q59" i="2"/>
  <c r="R59" i="2"/>
  <c r="S59" i="2"/>
  <c r="T59" i="2"/>
  <c r="U59" i="2"/>
  <c r="Q60" i="2"/>
  <c r="R60" i="2"/>
  <c r="S60" i="2"/>
  <c r="T60" i="2"/>
  <c r="U60" i="2"/>
  <c r="Q61" i="2"/>
  <c r="R61" i="2"/>
  <c r="S61" i="2"/>
  <c r="T61" i="2"/>
  <c r="U61" i="2"/>
  <c r="Q62" i="2"/>
  <c r="R62" i="2"/>
  <c r="S62" i="2"/>
  <c r="T62" i="2"/>
  <c r="U62" i="2"/>
  <c r="Q63" i="2"/>
  <c r="R63" i="2"/>
  <c r="S63" i="2"/>
  <c r="T63" i="2"/>
  <c r="U63" i="2"/>
  <c r="Q65" i="2"/>
  <c r="R65" i="2"/>
  <c r="S65" i="2"/>
  <c r="T65" i="2"/>
  <c r="U65" i="2"/>
  <c r="Q66" i="2"/>
  <c r="R66" i="2"/>
  <c r="S66" i="2"/>
  <c r="T66" i="2"/>
  <c r="U66" i="2"/>
  <c r="Q67" i="2"/>
  <c r="R67" i="2"/>
  <c r="S67" i="2"/>
  <c r="T67" i="2"/>
  <c r="U67" i="2"/>
  <c r="Q68" i="2"/>
  <c r="R68" i="2"/>
  <c r="S68" i="2"/>
  <c r="T68" i="2"/>
  <c r="U68" i="2"/>
  <c r="Q69" i="2"/>
  <c r="R69" i="2"/>
  <c r="S69" i="2"/>
  <c r="T69" i="2"/>
  <c r="U69" i="2"/>
  <c r="Q70" i="2"/>
  <c r="R70" i="2"/>
  <c r="S70" i="2"/>
  <c r="T70" i="2"/>
  <c r="U70" i="2"/>
  <c r="Q71" i="2"/>
  <c r="R71" i="2"/>
  <c r="S71" i="2"/>
  <c r="T71" i="2"/>
  <c r="U71" i="2"/>
  <c r="Q72" i="2"/>
  <c r="R72" i="2"/>
  <c r="S72" i="2"/>
  <c r="T72" i="2"/>
  <c r="U72" i="2"/>
  <c r="Q73" i="2"/>
  <c r="R73" i="2"/>
  <c r="S73" i="2"/>
  <c r="T73" i="2"/>
  <c r="U73" i="2"/>
  <c r="U17" i="2"/>
  <c r="T17" i="2"/>
  <c r="S17" i="2"/>
  <c r="R17" i="2"/>
  <c r="Q17" i="2"/>
  <c r="U15" i="2"/>
  <c r="T15" i="2"/>
  <c r="S15" i="2"/>
  <c r="R15" i="2"/>
  <c r="Q15" i="2"/>
  <c r="U13" i="2"/>
  <c r="Z13" i="2" s="1"/>
  <c r="T13" i="2"/>
  <c r="S13" i="2"/>
  <c r="R13" i="2"/>
  <c r="W13" i="2" s="1"/>
  <c r="Q13" i="2"/>
  <c r="U12" i="2"/>
  <c r="Z12" i="2" s="1"/>
  <c r="T12" i="2"/>
  <c r="Y12" i="2" s="1"/>
  <c r="S12" i="2"/>
  <c r="X12" i="2" s="1"/>
  <c r="R12" i="2"/>
  <c r="W12" i="2" s="1"/>
  <c r="Q12" i="2"/>
  <c r="U11" i="2"/>
  <c r="Z11" i="2" s="1"/>
  <c r="T11" i="2"/>
  <c r="S11" i="2"/>
  <c r="R11" i="2"/>
  <c r="Q11" i="2"/>
  <c r="U9" i="2"/>
  <c r="T9" i="2"/>
  <c r="Y9" i="2" s="1"/>
  <c r="S9" i="2"/>
  <c r="R9" i="2"/>
  <c r="Q9" i="2"/>
  <c r="U8" i="2"/>
  <c r="T8" i="2"/>
  <c r="S8" i="2"/>
  <c r="R8" i="2"/>
  <c r="Q8" i="2"/>
  <c r="U7" i="2"/>
  <c r="T7" i="2"/>
  <c r="S7" i="2"/>
  <c r="R7" i="2"/>
  <c r="Q7" i="2"/>
  <c r="U6" i="2"/>
  <c r="Z6" i="2" s="1"/>
  <c r="T6" i="2"/>
  <c r="S6" i="2"/>
  <c r="R6" i="2"/>
  <c r="Q6" i="2"/>
  <c r="U5" i="2"/>
  <c r="Z5" i="2" s="1"/>
  <c r="T5" i="2"/>
  <c r="S5" i="2"/>
  <c r="R5" i="2"/>
  <c r="W5" i="2" s="1"/>
  <c r="Q5" i="2"/>
  <c r="U3" i="2"/>
  <c r="Z3" i="2" s="1"/>
  <c r="T3" i="2"/>
  <c r="Y3" i="2" s="1"/>
  <c r="S3" i="2"/>
  <c r="X3" i="2" s="1"/>
  <c r="R3" i="2"/>
  <c r="Q3" i="2"/>
  <c r="U2" i="2"/>
  <c r="T2" i="2"/>
  <c r="Y2" i="2" s="1"/>
  <c r="S2" i="2"/>
  <c r="R2" i="2"/>
  <c r="Q2" i="2"/>
  <c r="Z2" i="2" l="1"/>
  <c r="Z8" i="2"/>
  <c r="Y8" i="2"/>
  <c r="X5" i="2"/>
  <c r="Y5" i="2"/>
  <c r="X9" i="2"/>
  <c r="Y13" i="2"/>
  <c r="X17" i="2"/>
  <c r="X7" i="2"/>
  <c r="Y7" i="2"/>
  <c r="W17" i="2"/>
  <c r="Y17" i="2"/>
  <c r="W8" i="2"/>
  <c r="X8" i="2"/>
  <c r="W3" i="2"/>
  <c r="Z17" i="2"/>
  <c r="Z7" i="2"/>
  <c r="W9" i="2"/>
  <c r="X13" i="2"/>
  <c r="Z9" i="2"/>
  <c r="W15" i="2"/>
  <c r="W11" i="2"/>
  <c r="X15" i="2"/>
  <c r="W2" i="2"/>
  <c r="X6" i="2"/>
  <c r="X11" i="2"/>
  <c r="Y15" i="2"/>
  <c r="X2" i="2"/>
  <c r="Y6" i="2"/>
  <c r="Y11" i="2"/>
  <c r="Z15" i="2"/>
</calcChain>
</file>

<file path=xl/sharedStrings.xml><?xml version="1.0" encoding="utf-8"?>
<sst xmlns="http://schemas.openxmlformats.org/spreadsheetml/2006/main" count="264" uniqueCount="114">
  <si>
    <t>Primary Property Type - Self Selected</t>
  </si>
  <si>
    <t>total_count</t>
  </si>
  <si>
    <t>total_gfa</t>
  </si>
  <si>
    <t>total_ghg</t>
  </si>
  <si>
    <t>percentage_of_total_buildings</t>
  </si>
  <si>
    <t>percentage_of_total_gfa</t>
  </si>
  <si>
    <t>percentage_of_total_ghg</t>
  </si>
  <si>
    <t>percent_of_city_wide_ghg</t>
  </si>
  <si>
    <t>percent_of_building_sector_ghg</t>
  </si>
  <si>
    <t>Total Fines</t>
  </si>
  <si>
    <t>Total Fines_2030_2034</t>
  </si>
  <si>
    <t>Total Fines_2035_2039</t>
  </si>
  <si>
    <t>Total Fines_2040_2044</t>
  </si>
  <si>
    <t>Total Fines_2045_2049</t>
  </si>
  <si>
    <t>Adult Education</t>
  </si>
  <si>
    <t>Ambulatory Surgical Center</t>
  </si>
  <si>
    <t>Aquarium</t>
  </si>
  <si>
    <t>Automobile Dealership</t>
  </si>
  <si>
    <t>Bank Branch</t>
  </si>
  <si>
    <t>Bar/Nightclub</t>
  </si>
  <si>
    <t>Bowling Alley</t>
  </si>
  <si>
    <t>College/University</t>
  </si>
  <si>
    <t>Convention Center</t>
  </si>
  <si>
    <t>Data Center</t>
  </si>
  <si>
    <t>Distribution Center</t>
  </si>
  <si>
    <t>Enclosed Mall</t>
  </si>
  <si>
    <t>Fast Food Restaurant</t>
  </si>
  <si>
    <t>Financial Office</t>
  </si>
  <si>
    <t>Fire Station</t>
  </si>
  <si>
    <t>Fitness Center/Health Club/Gym</t>
  </si>
  <si>
    <t>Food Sales</t>
  </si>
  <si>
    <t>Food Service</t>
  </si>
  <si>
    <t>Hospital</t>
  </si>
  <si>
    <t>Hotel</t>
  </si>
  <si>
    <t>Ice/Curling Rink</t>
  </si>
  <si>
    <t>Immeuble à logements multiples</t>
  </si>
  <si>
    <t>Indoor Arena</t>
  </si>
  <si>
    <t>K-12 School</t>
  </si>
  <si>
    <t>Laboratory</t>
  </si>
  <si>
    <t>Library</t>
  </si>
  <si>
    <t>Lifestyle Center</t>
  </si>
  <si>
    <t>Manufacturing/Industrial Plant</t>
  </si>
  <si>
    <t>Medical Office</t>
  </si>
  <si>
    <t>Mixed Use Property</t>
  </si>
  <si>
    <t>Movie Theater</t>
  </si>
  <si>
    <t>Multifamily Housing</t>
  </si>
  <si>
    <t>Museum</t>
  </si>
  <si>
    <t>Non-Refrigerated Warehouse</t>
  </si>
  <si>
    <t>Office</t>
  </si>
  <si>
    <t>Other</t>
  </si>
  <si>
    <t>Other - Education</t>
  </si>
  <si>
    <t>Other - Entertainment/Public Assembly</t>
  </si>
  <si>
    <t>Other - Lodging/Residential</t>
  </si>
  <si>
    <t>Other - Mall</t>
  </si>
  <si>
    <t>Other - Public Services</t>
  </si>
  <si>
    <t>Other - Recreation</t>
  </si>
  <si>
    <t>Other - Restaurant/Bar</t>
  </si>
  <si>
    <t>Other - Services</t>
  </si>
  <si>
    <t>Other - Specialty Hospital</t>
  </si>
  <si>
    <t>Other - Stadium</t>
  </si>
  <si>
    <t>Other - Technology/Science</t>
  </si>
  <si>
    <t>Other - Utility</t>
  </si>
  <si>
    <t>Outpatient Rehabilitation/Physical Therapy</t>
  </si>
  <si>
    <t>Parking</t>
  </si>
  <si>
    <t>Performing Arts</t>
  </si>
  <si>
    <t>Personal Services (Health/Beauty, Dry Cleaning, etc.)</t>
  </si>
  <si>
    <t>Pre-school/Daycare</t>
  </si>
  <si>
    <t>Refrigerated Warehouse</t>
  </si>
  <si>
    <t>Repair Services (Vehicle, Shoe, Locksmith, etc.)</t>
  </si>
  <si>
    <t>Residence Hall/Dormitory</t>
  </si>
  <si>
    <t>Residential Care Facility</t>
  </si>
  <si>
    <t>Restaurant</t>
  </si>
  <si>
    <t>Retail Store</t>
  </si>
  <si>
    <t>Self-Storage Facility</t>
  </si>
  <si>
    <t>Senior Living Community</t>
  </si>
  <si>
    <t>Single Family Home</t>
  </si>
  <si>
    <t>Social/Meeting Hall</t>
  </si>
  <si>
    <t>Stadium (Open)</t>
  </si>
  <si>
    <t>Strip Mall</t>
  </si>
  <si>
    <t>Supermarket/Grocery Store</t>
  </si>
  <si>
    <t>Transportation Terminal/Station</t>
  </si>
  <si>
    <t>Urgent Care/Clinic/Other Outpatient</t>
  </si>
  <si>
    <t>Veterinary Office</t>
  </si>
  <si>
    <t>Vocational School</t>
  </si>
  <si>
    <t>Wastewater Treatment Plant</t>
  </si>
  <si>
    <t>Wholesale Club/Supercenter</t>
  </si>
  <si>
    <t>count</t>
  </si>
  <si>
    <t>q1</t>
  </si>
  <si>
    <t>q2</t>
  </si>
  <si>
    <t>q3</t>
  </si>
  <si>
    <t>&lt;50k sf Count</t>
  </si>
  <si>
    <t>50k-100k sf Count</t>
  </si>
  <si>
    <t>150k-250k sf Count</t>
  </si>
  <si>
    <t>250k-500k sf Count</t>
  </si>
  <si>
    <t>500k-1M sf Count</t>
  </si>
  <si>
    <t>&gt;1M sf Count</t>
  </si>
  <si>
    <t>&lt;20 kbtu/sf Count</t>
  </si>
  <si>
    <t>&lt;40 kbtu/sf Count</t>
  </si>
  <si>
    <t>&lt;60 kbtu/sf Count</t>
  </si>
  <si>
    <t>&lt;80 kbtu/sf Count</t>
  </si>
  <si>
    <t>&lt;100 kbtu/sf Count</t>
  </si>
  <si>
    <t>&lt;150 kbtu/sf Count</t>
  </si>
  <si>
    <t>&lt;250 kbtu/sf Count</t>
  </si>
  <si>
    <t>&lt;500 kbtu/sf Count</t>
  </si>
  <si>
    <t>&gt;500 kbtu/sf Count</t>
  </si>
  <si>
    <t>2025-2029</t>
  </si>
  <si>
    <t>2030-2034</t>
  </si>
  <si>
    <t>2035-2039</t>
  </si>
  <si>
    <t>2040-2044</t>
  </si>
  <si>
    <t>2045-2049</t>
  </si>
  <si>
    <t>2025-&gt;2035</t>
  </si>
  <si>
    <t>2030-&gt;2040</t>
  </si>
  <si>
    <t>2035-&gt;2045</t>
  </si>
  <si>
    <t>2040-&gt;2050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</si>
</sst>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5" formatCode="_(* #,##0_);_(* \(#,##0\);_(* &quot;-&quot;??_);_(@_)"/>
    <numFmt numFmtId="166" formatCode="0.0%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44" fontId="0" fillId="0" borderId="0" xfId="1" applyFont="1"/>
    <xf numFmtId="9" fontId="0" fillId="0" borderId="0" xfId="2" applyFont="1"/>
    <xf numFmtId="44" fontId="4" fillId="0" borderId="0" xfId="1" applyFont="1"/>
    <xf numFmtId="0" fontId="4" fillId="0" borderId="0" xfId="0" applyFont="1"/>
    <xf numFmtId="9" fontId="4" fillId="0" borderId="0" xfId="2" applyFont="1"/>
    <xf numFmtId="0" fontId="1" fillId="0" borderId="0" xfId="0" applyFont="1" applyAlignment="1">
      <alignment horizontal="center" vertical="top"/>
    </xf>
    <xf numFmtId="165" fontId="0" fillId="0" borderId="0" xfId="3" applyNumberFormat="1" applyFont="1"/>
    <xf numFmtId="166" fontId="0" fillId="0" borderId="0" xfId="2" applyNumberFormat="1" applyFont="1"/>
    <xf numFmtId="0" fontId="0" fillId="2" borderId="0" xfId="0" applyFill="1"/>
    <xf numFmtId="166" fontId="0" fillId="2" borderId="0" xfId="2" applyNumberFormat="1" applyFont="1" applyFill="1"/>
    <xf numFmtId="44" fontId="0" fillId="2" borderId="0" xfId="1" applyFont="1" applyFill="1"/>
    <xf numFmtId="165" fontId="0" fillId="2" borderId="0" xfId="3" applyNumberFormat="1" applyFont="1" applyFill="1"/>
    <xf numFmtId="9" fontId="0" fillId="2" borderId="0" xfId="2" applyFont="1" applyFill="1"/>
  </cellXfs>
  <cellStyles count="4">
    <cellStyle name="Comma" xfId="3" builtinId="3"/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7145000" cy="5715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76"/>
  <sheetViews>
    <sheetView tabSelected="1" topLeftCell="G49" workbookViewId="0">
      <selection activeCell="J75" sqref="J75:K76"/>
    </sheetView>
  </sheetViews>
  <sheetFormatPr defaultRowHeight="15" x14ac:dyDescent="0.25"/>
  <cols>
    <col min="10" max="10" width="16.85546875" bestFit="1" customWidth="1"/>
    <col min="11" max="11" width="21" bestFit="1" customWidth="1"/>
    <col min="12" max="14" width="20.85546875" bestFit="1" customWidth="1"/>
    <col min="15" max="15" width="12" bestFit="1" customWidth="1"/>
    <col min="16" max="16" width="6" customWidth="1"/>
    <col min="20" max="21" width="11.5703125" bestFit="1" customWidth="1"/>
  </cols>
  <sheetData>
    <row r="1" spans="1:2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Q1" s="3" t="s">
        <v>105</v>
      </c>
      <c r="R1" s="3" t="s">
        <v>106</v>
      </c>
      <c r="S1" s="3" t="s">
        <v>107</v>
      </c>
      <c r="T1" s="3" t="s">
        <v>108</v>
      </c>
      <c r="U1" s="3" t="s">
        <v>109</v>
      </c>
      <c r="W1" s="9" t="s">
        <v>110</v>
      </c>
      <c r="X1" s="9" t="s">
        <v>111</v>
      </c>
      <c r="Y1" s="9" t="s">
        <v>112</v>
      </c>
      <c r="Z1" s="9" t="s">
        <v>113</v>
      </c>
    </row>
    <row r="2" spans="1:26" x14ac:dyDescent="0.25">
      <c r="A2" t="s">
        <v>14</v>
      </c>
      <c r="B2">
        <v>13</v>
      </c>
      <c r="C2">
        <v>696028</v>
      </c>
      <c r="D2">
        <v>3747.8</v>
      </c>
      <c r="E2">
        <v>4.4385264092321353E-2</v>
      </c>
      <c r="F2">
        <v>9.8908942517416353E-3</v>
      </c>
      <c r="G2">
        <v>1.8265819916580599E-2</v>
      </c>
      <c r="H2">
        <v>6.7393062873368821E-5</v>
      </c>
      <c r="I2">
        <v>1.0091724072693261E-4</v>
      </c>
      <c r="J2">
        <v>306126</v>
      </c>
      <c r="K2">
        <v>546249</v>
      </c>
      <c r="L2">
        <v>505732</v>
      </c>
      <c r="M2">
        <v>637793</v>
      </c>
      <c r="N2">
        <v>637793</v>
      </c>
      <c r="O2" s="11">
        <f>SUM(J2:N2)/SUM($J$2:$N$73)</f>
        <v>6.240616887714145E-5</v>
      </c>
      <c r="Q2" s="4">
        <f>J2/$C$2</f>
        <v>0.43981851304832564</v>
      </c>
      <c r="R2" s="4">
        <f>K2/$C$2</f>
        <v>0.78480894446775129</v>
      </c>
      <c r="S2" s="4">
        <f>L2/$C$2</f>
        <v>0.72659720585953436</v>
      </c>
      <c r="T2" s="4">
        <f>M2/$C$2</f>
        <v>0.91633238892688229</v>
      </c>
      <c r="U2" s="4">
        <f>N2/$C$2</f>
        <v>0.91633238892688229</v>
      </c>
      <c r="W2" s="5">
        <f>(R2-Q2)/Q2</f>
        <v>0.78439270104466785</v>
      </c>
      <c r="X2" s="5">
        <f t="shared" ref="X2:Z15" si="0">(S2-R2)/R2</f>
        <v>-7.4173133497727251E-2</v>
      </c>
      <c r="Y2" s="5">
        <f t="shared" si="0"/>
        <v>0.26112842375012862</v>
      </c>
      <c r="Z2" s="5">
        <f>(U2-T2)/T2</f>
        <v>0</v>
      </c>
    </row>
    <row r="3" spans="1:26" x14ac:dyDescent="0.25">
      <c r="A3" t="s">
        <v>15</v>
      </c>
      <c r="B3">
        <v>10</v>
      </c>
      <c r="C3">
        <v>2154223</v>
      </c>
      <c r="D3">
        <v>25710.2</v>
      </c>
      <c r="E3">
        <v>3.4142510840247192E-2</v>
      </c>
      <c r="F3">
        <v>3.061254990843704E-2</v>
      </c>
      <c r="G3">
        <v>0.12530494776115869</v>
      </c>
      <c r="H3">
        <v>4.6232166206491458E-4</v>
      </c>
      <c r="I3">
        <v>6.9230013408868771E-4</v>
      </c>
      <c r="J3">
        <v>11104654</v>
      </c>
      <c r="K3">
        <v>5813147</v>
      </c>
      <c r="L3">
        <v>5992434</v>
      </c>
      <c r="M3">
        <v>7718471</v>
      </c>
      <c r="N3">
        <v>7718471</v>
      </c>
      <c r="O3" s="11">
        <f t="shared" ref="O3:O66" si="1">SUM(J3:N3)/SUM($J$2:$N$73)</f>
        <v>9.0864820000798659E-4</v>
      </c>
      <c r="Q3" s="4">
        <f>J3/$C$3</f>
        <v>5.1548303030837568</v>
      </c>
      <c r="R3" s="4">
        <f>K3/$C$3</f>
        <v>2.6984889679480721</v>
      </c>
      <c r="S3" s="4">
        <f>L3/$C$3</f>
        <v>2.7817147992570872</v>
      </c>
      <c r="T3" s="4">
        <f>M3/$C$3</f>
        <v>3.5829489333277009</v>
      </c>
      <c r="U3" s="4">
        <f>N3/$C$3</f>
        <v>3.5829489333277009</v>
      </c>
      <c r="W3" s="5">
        <f t="shared" ref="W3:W15" si="2">(R3-Q3)/Q3</f>
        <v>-0.4765125505035997</v>
      </c>
      <c r="X3" s="5">
        <f t="shared" si="0"/>
        <v>3.0841642229243533E-2</v>
      </c>
      <c r="Y3" s="5">
        <f t="shared" si="0"/>
        <v>0.28803604678833339</v>
      </c>
      <c r="Z3" s="5">
        <f t="shared" si="0"/>
        <v>0</v>
      </c>
    </row>
    <row r="4" spans="1:26" x14ac:dyDescent="0.25">
      <c r="A4" t="s">
        <v>16</v>
      </c>
      <c r="B4">
        <v>6</v>
      </c>
      <c r="C4">
        <v>195403</v>
      </c>
      <c r="D4">
        <v>4129.5</v>
      </c>
      <c r="E4">
        <v>2.048550650414831E-2</v>
      </c>
      <c r="F4">
        <v>2.776771063050726E-3</v>
      </c>
      <c r="G4">
        <v>2.0126128220694699E-2</v>
      </c>
      <c r="H4">
        <v>7.4256804828319687E-5</v>
      </c>
      <c r="I4">
        <v>1.1119530006453611E-4</v>
      </c>
      <c r="O4" s="11">
        <f t="shared" si="1"/>
        <v>0</v>
      </c>
      <c r="Q4" s="4"/>
      <c r="R4" s="4"/>
      <c r="S4" s="4"/>
      <c r="T4" s="4"/>
      <c r="U4" s="4"/>
      <c r="W4" s="5"/>
      <c r="X4" s="5"/>
      <c r="Y4" s="5"/>
      <c r="Z4" s="5"/>
    </row>
    <row r="5" spans="1:26" x14ac:dyDescent="0.25">
      <c r="A5" t="s">
        <v>17</v>
      </c>
      <c r="B5">
        <v>24</v>
      </c>
      <c r="C5">
        <v>1615010</v>
      </c>
      <c r="D5">
        <v>6087</v>
      </c>
      <c r="E5">
        <v>8.1942026016593256E-2</v>
      </c>
      <c r="F5">
        <v>2.295007259119641E-2</v>
      </c>
      <c r="G5">
        <v>2.9666483225419212E-2</v>
      </c>
      <c r="H5">
        <v>1.094566342147916E-4</v>
      </c>
      <c r="I5">
        <v>1.6390502276131041E-4</v>
      </c>
      <c r="J5">
        <v>494471</v>
      </c>
      <c r="K5">
        <v>1114551</v>
      </c>
      <c r="L5">
        <v>1081388</v>
      </c>
      <c r="M5">
        <v>1288501</v>
      </c>
      <c r="N5">
        <v>1288501</v>
      </c>
      <c r="O5" s="11">
        <f t="shared" si="1"/>
        <v>1.2481295383231128E-4</v>
      </c>
      <c r="Q5" s="4">
        <f>J5/$C$5</f>
        <v>0.30617209800558509</v>
      </c>
      <c r="R5" s="4">
        <f>K5/$C$5</f>
        <v>0.69012018501433425</v>
      </c>
      <c r="S5" s="4">
        <f>L5/$C$5</f>
        <v>0.66958594683624251</v>
      </c>
      <c r="T5" s="4">
        <f>M5/$C$5</f>
        <v>0.79782849641797882</v>
      </c>
      <c r="U5" s="4">
        <f>N5/$C$5</f>
        <v>0.79782849641797882</v>
      </c>
      <c r="W5" s="5">
        <f t="shared" si="2"/>
        <v>1.2540270309077783</v>
      </c>
      <c r="X5" s="5">
        <f t="shared" si="0"/>
        <v>-2.9754582787149222E-2</v>
      </c>
      <c r="Y5" s="5">
        <f t="shared" si="0"/>
        <v>0.19152515100962833</v>
      </c>
      <c r="Z5" s="5">
        <f t="shared" si="0"/>
        <v>0</v>
      </c>
    </row>
    <row r="6" spans="1:26" x14ac:dyDescent="0.25">
      <c r="A6" t="s">
        <v>18</v>
      </c>
      <c r="B6">
        <v>10</v>
      </c>
      <c r="C6">
        <v>329162</v>
      </c>
      <c r="D6">
        <v>1359.4</v>
      </c>
      <c r="E6">
        <v>3.4142510840247192E-2</v>
      </c>
      <c r="F6">
        <v>4.6775510952027496E-3</v>
      </c>
      <c r="G6">
        <v>6.6253683746730534E-3</v>
      </c>
      <c r="H6">
        <v>2.4444775513650031E-5</v>
      </c>
      <c r="I6">
        <v>3.6604647271517218E-5</v>
      </c>
      <c r="J6">
        <v>0</v>
      </c>
      <c r="K6">
        <v>52188</v>
      </c>
      <c r="L6">
        <v>70148</v>
      </c>
      <c r="M6">
        <v>111926</v>
      </c>
      <c r="N6">
        <v>111926</v>
      </c>
      <c r="O6" s="11">
        <f t="shared" si="1"/>
        <v>8.2030315572998989E-6</v>
      </c>
      <c r="Q6" s="4">
        <f>J6/$C$6</f>
        <v>0</v>
      </c>
      <c r="R6" s="4">
        <f>K6/$C$6</f>
        <v>0.15854807055492431</v>
      </c>
      <c r="S6" s="4">
        <f>L6/$C$6</f>
        <v>0.21311086941992088</v>
      </c>
      <c r="T6" s="4">
        <f>M6/$C$6</f>
        <v>0.3400331751538756</v>
      </c>
      <c r="U6" s="4">
        <f>N6/$C$6</f>
        <v>0.3400331751538756</v>
      </c>
      <c r="W6" s="5">
        <v>0</v>
      </c>
      <c r="X6" s="5">
        <f t="shared" si="0"/>
        <v>0.34414041542116963</v>
      </c>
      <c r="Y6" s="5">
        <f t="shared" si="0"/>
        <v>0.59556936762274049</v>
      </c>
      <c r="Z6" s="5">
        <f t="shared" si="0"/>
        <v>0</v>
      </c>
    </row>
    <row r="7" spans="1:26" x14ac:dyDescent="0.25">
      <c r="A7" t="s">
        <v>19</v>
      </c>
      <c r="B7">
        <v>1</v>
      </c>
      <c r="C7">
        <v>28400</v>
      </c>
      <c r="D7">
        <v>167.5</v>
      </c>
      <c r="E7">
        <v>3.4142510840247191E-3</v>
      </c>
      <c r="F7">
        <v>4.0357772496144191E-4</v>
      </c>
      <c r="G7">
        <v>8.163522162407947E-4</v>
      </c>
      <c r="H7">
        <v>3.0119905094426801E-6</v>
      </c>
      <c r="I7">
        <v>4.5102827850368793E-6</v>
      </c>
      <c r="J7">
        <v>0</v>
      </c>
      <c r="K7">
        <v>18726</v>
      </c>
      <c r="L7">
        <v>33002</v>
      </c>
      <c r="M7">
        <v>56940</v>
      </c>
      <c r="N7">
        <v>56940</v>
      </c>
      <c r="O7" s="11">
        <f t="shared" si="1"/>
        <v>3.9241326970932606E-6</v>
      </c>
      <c r="Q7" s="4">
        <f>J7/$C$7</f>
        <v>0</v>
      </c>
      <c r="R7" s="4">
        <f>K7/$C$7</f>
        <v>0.65936619718309863</v>
      </c>
      <c r="S7" s="4">
        <f>L7/$C$7</f>
        <v>1.1620422535211268</v>
      </c>
      <c r="T7" s="4">
        <f>M7/$C$7</f>
        <v>2.0049295774647886</v>
      </c>
      <c r="U7" s="4">
        <f>N7/$C$7</f>
        <v>2.0049295774647886</v>
      </c>
      <c r="W7" s="5">
        <v>0</v>
      </c>
      <c r="X7" s="5">
        <f t="shared" si="0"/>
        <v>0.76236249065470463</v>
      </c>
      <c r="Y7" s="5">
        <f t="shared" si="0"/>
        <v>0.72534997878916418</v>
      </c>
      <c r="Z7" s="5">
        <f t="shared" si="0"/>
        <v>0</v>
      </c>
    </row>
    <row r="8" spans="1:26" x14ac:dyDescent="0.25">
      <c r="A8" t="s">
        <v>20</v>
      </c>
      <c r="B8">
        <v>7</v>
      </c>
      <c r="C8">
        <v>316878</v>
      </c>
      <c r="D8">
        <v>1339.9</v>
      </c>
      <c r="E8">
        <v>2.3899757588173039E-2</v>
      </c>
      <c r="F8">
        <v>4.5029895186736541E-3</v>
      </c>
      <c r="G8">
        <v>6.5303303554689E-3</v>
      </c>
      <c r="H8">
        <v>2.409412587225222E-5</v>
      </c>
      <c r="I8">
        <v>3.6079569574154718E-5</v>
      </c>
      <c r="J8">
        <v>89279</v>
      </c>
      <c r="K8">
        <v>85692</v>
      </c>
      <c r="L8">
        <v>52290</v>
      </c>
      <c r="M8">
        <v>91547</v>
      </c>
      <c r="N8">
        <v>91547</v>
      </c>
      <c r="O8" s="11">
        <f t="shared" si="1"/>
        <v>9.7234884360399555E-6</v>
      </c>
      <c r="Q8" s="4">
        <f>J8/$C$8</f>
        <v>0.28174565605690516</v>
      </c>
      <c r="R8" s="4">
        <f>K8/$C$8</f>
        <v>0.27042584212220477</v>
      </c>
      <c r="S8" s="4">
        <f>L8/$C$8</f>
        <v>0.16501618919584193</v>
      </c>
      <c r="T8" s="4">
        <f>M8/$C$8</f>
        <v>0.2889029847449176</v>
      </c>
      <c r="U8" s="4">
        <f>N8/$C$8</f>
        <v>0.2889029847449176</v>
      </c>
      <c r="W8" s="5">
        <f t="shared" si="2"/>
        <v>-4.0177421342084796E-2</v>
      </c>
      <c r="X8" s="5">
        <f t="shared" si="0"/>
        <v>-0.38979134574989499</v>
      </c>
      <c r="Y8" s="5">
        <f t="shared" si="0"/>
        <v>0.75075540256263151</v>
      </c>
      <c r="Z8" s="5">
        <f t="shared" si="0"/>
        <v>0</v>
      </c>
    </row>
    <row r="9" spans="1:26" x14ac:dyDescent="0.25">
      <c r="A9" t="s">
        <v>21</v>
      </c>
      <c r="B9">
        <v>481</v>
      </c>
      <c r="C9">
        <v>82013376</v>
      </c>
      <c r="D9">
        <v>951660.79999999993</v>
      </c>
      <c r="E9">
        <v>1.6422547714158899</v>
      </c>
      <c r="F9">
        <v>1.16544970783406</v>
      </c>
      <c r="G9">
        <v>4.6381516608327624</v>
      </c>
      <c r="H9">
        <v>1.7112795807812709E-2</v>
      </c>
      <c r="I9">
        <v>2.5625428796623429E-2</v>
      </c>
      <c r="J9">
        <v>690912210</v>
      </c>
      <c r="K9">
        <v>828954352</v>
      </c>
      <c r="L9">
        <v>775841388</v>
      </c>
      <c r="M9">
        <v>787671025</v>
      </c>
      <c r="N9">
        <v>787671025</v>
      </c>
      <c r="O9" s="11">
        <f t="shared" si="1"/>
        <v>9.1725725068129954E-2</v>
      </c>
      <c r="Q9" s="4">
        <f>J9/$C$9</f>
        <v>8.4243844565062176</v>
      </c>
      <c r="R9" s="4">
        <f>K9/$C$9</f>
        <v>10.107550651249865</v>
      </c>
      <c r="S9" s="4">
        <f>L9/$C$9</f>
        <v>9.4599372180459937</v>
      </c>
      <c r="T9" s="4">
        <f>M9/$C$9</f>
        <v>9.6041775551344202</v>
      </c>
      <c r="U9" s="4">
        <f>N9/$C$9</f>
        <v>9.6041775551344202</v>
      </c>
      <c r="W9" s="5">
        <f t="shared" si="2"/>
        <v>0.19979693512725724</v>
      </c>
      <c r="X9" s="5">
        <f t="shared" si="0"/>
        <v>-6.407224218300496E-2</v>
      </c>
      <c r="Y9" s="5">
        <f t="shared" si="0"/>
        <v>1.5247494117959922E-2</v>
      </c>
      <c r="Z9" s="5">
        <f t="shared" si="0"/>
        <v>0</v>
      </c>
    </row>
    <row r="10" spans="1:26" x14ac:dyDescent="0.25">
      <c r="A10" t="s">
        <v>22</v>
      </c>
      <c r="B10">
        <v>1</v>
      </c>
      <c r="C10">
        <v>31680</v>
      </c>
      <c r="D10">
        <v>71.5</v>
      </c>
      <c r="E10">
        <v>3.4142510840247191E-3</v>
      </c>
      <c r="F10">
        <v>4.501881100978337E-4</v>
      </c>
      <c r="G10">
        <v>3.4847273708189151E-4</v>
      </c>
      <c r="H10">
        <v>1.2857153517919501E-6</v>
      </c>
      <c r="I10">
        <v>1.9252848903291761E-6</v>
      </c>
      <c r="J10">
        <v>0</v>
      </c>
      <c r="K10">
        <v>0</v>
      </c>
      <c r="L10">
        <v>0</v>
      </c>
      <c r="M10">
        <v>0</v>
      </c>
      <c r="N10">
        <v>0</v>
      </c>
      <c r="O10" s="11">
        <f t="shared" si="1"/>
        <v>0</v>
      </c>
      <c r="Q10" s="4"/>
      <c r="R10" s="4"/>
      <c r="S10" s="4"/>
      <c r="T10" s="4"/>
      <c r="U10" s="4"/>
      <c r="W10" s="5"/>
      <c r="X10" s="5"/>
      <c r="Y10" s="5"/>
      <c r="Z10" s="5"/>
    </row>
    <row r="11" spans="1:26" x14ac:dyDescent="0.25">
      <c r="A11" t="s">
        <v>23</v>
      </c>
      <c r="B11">
        <v>5</v>
      </c>
      <c r="C11">
        <v>1862261</v>
      </c>
      <c r="D11">
        <v>34294.800000000003</v>
      </c>
      <c r="E11">
        <v>1.70712554201236E-2</v>
      </c>
      <c r="F11">
        <v>2.6463628791000691E-2</v>
      </c>
      <c r="G11">
        <v>0.16714409543602871</v>
      </c>
      <c r="H11">
        <v>6.1669022163125277E-4</v>
      </c>
      <c r="I11">
        <v>9.2345818541064359E-4</v>
      </c>
      <c r="J11">
        <v>3289623</v>
      </c>
      <c r="K11">
        <v>1862405</v>
      </c>
      <c r="L11">
        <v>1439920</v>
      </c>
      <c r="M11">
        <v>1481328</v>
      </c>
      <c r="N11">
        <v>1481328</v>
      </c>
      <c r="O11" s="11">
        <f t="shared" si="1"/>
        <v>2.2639929208841393E-4</v>
      </c>
      <c r="Q11" s="6">
        <f>J11/$C$11</f>
        <v>1.7664672137793789</v>
      </c>
      <c r="R11" s="6">
        <f>K11/$C$11</f>
        <v>1.0000773253587978</v>
      </c>
      <c r="S11" s="6">
        <f>L11/$C$11</f>
        <v>0.77321062944453012</v>
      </c>
      <c r="T11" s="6">
        <f>M11/$C$11</f>
        <v>0.79544596595214101</v>
      </c>
      <c r="U11" s="6">
        <f>N11/$C$11</f>
        <v>0.79544596595214101</v>
      </c>
      <c r="V11" s="7"/>
      <c r="W11" s="8">
        <f t="shared" si="2"/>
        <v>-0.43385457847297387</v>
      </c>
      <c r="X11" s="8">
        <f t="shared" si="0"/>
        <v>-0.22684915472198583</v>
      </c>
      <c r="Y11" s="8">
        <f t="shared" si="0"/>
        <v>2.8757153175176374E-2</v>
      </c>
      <c r="Z11" s="8">
        <f t="shared" si="0"/>
        <v>0</v>
      </c>
    </row>
    <row r="12" spans="1:26" x14ac:dyDescent="0.25">
      <c r="A12" t="s">
        <v>24</v>
      </c>
      <c r="B12">
        <v>170</v>
      </c>
      <c r="C12">
        <v>17657439.600000001</v>
      </c>
      <c r="D12">
        <v>57341.9</v>
      </c>
      <c r="E12">
        <v>0.58042268428420229</v>
      </c>
      <c r="F12">
        <v>0.25092075008493209</v>
      </c>
      <c r="G12">
        <v>0.27946977402064488</v>
      </c>
      <c r="H12">
        <v>1.031123931900963E-3</v>
      </c>
      <c r="I12">
        <v>1.544048862276455E-3</v>
      </c>
      <c r="J12">
        <v>7747507</v>
      </c>
      <c r="K12">
        <v>31252037</v>
      </c>
      <c r="L12">
        <v>28860497</v>
      </c>
      <c r="M12">
        <v>30785601</v>
      </c>
      <c r="N12">
        <v>30785601</v>
      </c>
      <c r="O12" s="11">
        <f t="shared" si="1"/>
        <v>3.0669132691761459E-3</v>
      </c>
      <c r="Q12" s="4">
        <f>J12/$C$12</f>
        <v>0.43876729443831708</v>
      </c>
      <c r="R12" s="4">
        <f>K12/$C$12</f>
        <v>1.7699076257919069</v>
      </c>
      <c r="S12" s="4">
        <f>L12/$C$12</f>
        <v>1.6344666981049731</v>
      </c>
      <c r="T12" s="4">
        <f>M12/$C$12</f>
        <v>1.7434917914146508</v>
      </c>
      <c r="U12" s="4">
        <f>N12/$C$12</f>
        <v>1.7434917914146508</v>
      </c>
      <c r="W12" s="5">
        <f t="shared" si="2"/>
        <v>3.0338184915483137</v>
      </c>
      <c r="X12" s="5">
        <f t="shared" si="0"/>
        <v>-7.6524291840560671E-2</v>
      </c>
      <c r="Y12" s="5">
        <f t="shared" si="0"/>
        <v>6.6703771594785702E-2</v>
      </c>
      <c r="Z12" s="5">
        <f t="shared" si="0"/>
        <v>0</v>
      </c>
    </row>
    <row r="13" spans="1:26" x14ac:dyDescent="0.25">
      <c r="A13" t="s">
        <v>25</v>
      </c>
      <c r="B13">
        <v>30</v>
      </c>
      <c r="C13">
        <v>19651115</v>
      </c>
      <c r="D13">
        <v>92504.7</v>
      </c>
      <c r="E13">
        <v>0.1024275325207416</v>
      </c>
      <c r="F13">
        <v>0.27925184100900219</v>
      </c>
      <c r="G13">
        <v>0.45084427974740199</v>
      </c>
      <c r="H13">
        <v>1.663422558082641E-3</v>
      </c>
      <c r="I13">
        <v>2.4908797369850811E-3</v>
      </c>
      <c r="J13">
        <v>2230970</v>
      </c>
      <c r="K13">
        <v>13450412</v>
      </c>
      <c r="L13">
        <v>18163825</v>
      </c>
      <c r="M13">
        <v>25660958</v>
      </c>
      <c r="N13">
        <v>25660958</v>
      </c>
      <c r="O13" s="11">
        <f t="shared" si="1"/>
        <v>2.0180612777260971E-3</v>
      </c>
      <c r="Q13" s="4">
        <f>J13/$C$13</f>
        <v>0.11352892698455024</v>
      </c>
      <c r="R13" s="4">
        <f>K13/$C$13</f>
        <v>0.68446050007849424</v>
      </c>
      <c r="S13" s="4">
        <f>L13/$C$13</f>
        <v>0.92431523605657995</v>
      </c>
      <c r="T13" s="4">
        <f>M13/$C$13</f>
        <v>1.3058270739344815</v>
      </c>
      <c r="U13" s="4">
        <f>N13/$C$13</f>
        <v>1.3058270739344815</v>
      </c>
      <c r="W13" s="5">
        <f t="shared" si="2"/>
        <v>5.0289524287641703</v>
      </c>
      <c r="X13" s="5">
        <f t="shared" si="0"/>
        <v>0.35042889392533105</v>
      </c>
      <c r="Y13" s="5">
        <f t="shared" si="0"/>
        <v>0.41275078349411537</v>
      </c>
      <c r="Z13" s="5">
        <f t="shared" si="0"/>
        <v>0</v>
      </c>
    </row>
    <row r="14" spans="1:26" x14ac:dyDescent="0.25">
      <c r="A14" t="s">
        <v>26</v>
      </c>
      <c r="B14">
        <v>1</v>
      </c>
      <c r="C14">
        <v>3152</v>
      </c>
      <c r="D14">
        <v>89.9</v>
      </c>
      <c r="E14">
        <v>3.4142510840247191E-3</v>
      </c>
      <c r="F14">
        <v>4.4791443277410728E-5</v>
      </c>
      <c r="G14">
        <v>4.3814963725401462E-4</v>
      </c>
      <c r="H14">
        <v>1.6165847570083401E-6</v>
      </c>
      <c r="I14">
        <v>2.4207428201481519E-6</v>
      </c>
      <c r="O14" s="11">
        <f t="shared" si="1"/>
        <v>0</v>
      </c>
      <c r="Q14" s="4"/>
      <c r="R14" s="4"/>
      <c r="S14" s="4"/>
      <c r="T14" s="4"/>
      <c r="U14" s="4"/>
      <c r="W14" s="5"/>
      <c r="X14" s="5"/>
      <c r="Y14" s="5"/>
      <c r="Z14" s="5"/>
    </row>
    <row r="15" spans="1:26" s="12" customFormat="1" x14ac:dyDescent="0.25">
      <c r="A15" s="12" t="s">
        <v>27</v>
      </c>
      <c r="B15" s="12">
        <v>31</v>
      </c>
      <c r="C15" s="12">
        <v>20197589.399999999</v>
      </c>
      <c r="D15" s="12">
        <v>177813.6</v>
      </c>
      <c r="E15" s="12">
        <v>0.1058417836047663</v>
      </c>
      <c r="F15" s="12">
        <v>0.28701750632948347</v>
      </c>
      <c r="G15" s="12">
        <v>0.86661806828509957</v>
      </c>
      <c r="H15" s="12">
        <v>3.1974500038796242E-3</v>
      </c>
      <c r="I15" s="12">
        <v>4.7879977255249773E-3</v>
      </c>
      <c r="J15" s="12">
        <v>52514579</v>
      </c>
      <c r="K15" s="12">
        <v>65309257</v>
      </c>
      <c r="L15" s="12">
        <v>59229669</v>
      </c>
      <c r="M15" s="12">
        <v>60891635</v>
      </c>
      <c r="N15" s="12">
        <v>60891635</v>
      </c>
      <c r="O15" s="13">
        <f t="shared" si="1"/>
        <v>7.0810296596263578E-3</v>
      </c>
      <c r="P15" s="15"/>
      <c r="Q15" s="14">
        <f>J15/$C$15</f>
        <v>2.6000419139127566</v>
      </c>
      <c r="R15" s="14">
        <f>K15/$C$15</f>
        <v>3.2335174117362739</v>
      </c>
      <c r="S15" s="14">
        <f>L15/$C$15</f>
        <v>2.9325117877680991</v>
      </c>
      <c r="T15" s="14">
        <f>M15/$C$15</f>
        <v>3.0147971519809191</v>
      </c>
      <c r="U15" s="14">
        <f>N15/$C$15</f>
        <v>3.0147971519809191</v>
      </c>
      <c r="W15" s="16">
        <f t="shared" si="2"/>
        <v>0.24364049457580142</v>
      </c>
      <c r="X15" s="16">
        <f t="shared" si="0"/>
        <v>-9.3089223170920388E-2</v>
      </c>
      <c r="Y15" s="16">
        <f t="shared" si="0"/>
        <v>2.8059687451570829E-2</v>
      </c>
      <c r="Z15" s="16">
        <f t="shared" si="0"/>
        <v>0</v>
      </c>
    </row>
    <row r="16" spans="1:26" x14ac:dyDescent="0.25">
      <c r="A16" t="s">
        <v>28</v>
      </c>
      <c r="B16">
        <v>53</v>
      </c>
      <c r="C16">
        <v>721862</v>
      </c>
      <c r="D16">
        <v>4897.5</v>
      </c>
      <c r="E16">
        <v>0.18095530745331009</v>
      </c>
      <c r="F16">
        <v>1.025800787662381E-2</v>
      </c>
      <c r="G16">
        <v>2.386916405396592E-2</v>
      </c>
      <c r="H16">
        <v>8.8067006089525527E-5</v>
      </c>
      <c r="I16">
        <v>1.318752832221977E-4</v>
      </c>
      <c r="O16" s="11">
        <f t="shared" si="1"/>
        <v>0</v>
      </c>
    </row>
    <row r="17" spans="1:26" x14ac:dyDescent="0.25">
      <c r="A17" t="s">
        <v>29</v>
      </c>
      <c r="B17">
        <v>83</v>
      </c>
      <c r="C17">
        <v>3688035</v>
      </c>
      <c r="D17">
        <v>27454.400000000001</v>
      </c>
      <c r="E17">
        <v>0.28338283997405173</v>
      </c>
      <c r="F17">
        <v>5.2408759678808828E-2</v>
      </c>
      <c r="G17">
        <v>0.13380573304812701</v>
      </c>
      <c r="H17">
        <v>4.9368592383548131E-4</v>
      </c>
      <c r="I17">
        <v>7.3926631458815829E-4</v>
      </c>
      <c r="J17">
        <v>8454124</v>
      </c>
      <c r="K17">
        <v>12338997</v>
      </c>
      <c r="L17">
        <v>11545080</v>
      </c>
      <c r="M17">
        <v>12286320</v>
      </c>
      <c r="N17">
        <v>12286320</v>
      </c>
      <c r="O17" s="11">
        <f t="shared" si="1"/>
        <v>1.3485199506495804E-3</v>
      </c>
      <c r="Q17" s="4">
        <f>SUM(J2:J15)/SUM($C$2:$C$15)</f>
        <v>5.2380267482662575</v>
      </c>
      <c r="R17" s="4">
        <f>SUM(K2:K15)/SUM($C$2:$C$15)</f>
        <v>6.4630181873783457</v>
      </c>
      <c r="S17" s="4">
        <f>SUM(L2:L15)/SUM($C$2:$C$15)</f>
        <v>6.0733210569522669</v>
      </c>
      <c r="T17" s="4">
        <f>SUM(M2:M15)/SUM($C$2:$C$15)</f>
        <v>6.2445315375764903</v>
      </c>
      <c r="U17" s="4">
        <f>SUM(N2:N15)/SUM($C$2:$C$15)</f>
        <v>6.2445315375764903</v>
      </c>
      <c r="W17" s="5">
        <f t="shared" ref="W17:Z17" si="3">(R17-Q17)/Q17</f>
        <v>0.23386505987537196</v>
      </c>
      <c r="X17" s="5">
        <f t="shared" si="3"/>
        <v>-6.0296461982285596E-2</v>
      </c>
      <c r="Y17" s="5">
        <f t="shared" si="3"/>
        <v>2.8190586174961871E-2</v>
      </c>
      <c r="Z17" s="5">
        <f t="shared" si="3"/>
        <v>0</v>
      </c>
    </row>
    <row r="18" spans="1:26" x14ac:dyDescent="0.25">
      <c r="A18" t="s">
        <v>30</v>
      </c>
      <c r="B18">
        <v>5</v>
      </c>
      <c r="C18">
        <v>3527411</v>
      </c>
      <c r="D18">
        <v>3332.3</v>
      </c>
      <c r="E18">
        <v>1.70712554201236E-2</v>
      </c>
      <c r="F18">
        <v>5.0126215013519868E-2</v>
      </c>
      <c r="G18">
        <v>1.624077904584597E-2</v>
      </c>
      <c r="H18">
        <v>5.992152820666175E-5</v>
      </c>
      <c r="I18">
        <v>8.9729046713900862E-5</v>
      </c>
      <c r="J18">
        <v>273039</v>
      </c>
      <c r="K18">
        <v>160775</v>
      </c>
      <c r="L18">
        <v>63409</v>
      </c>
      <c r="M18">
        <v>32046</v>
      </c>
      <c r="N18">
        <v>32046</v>
      </c>
      <c r="O18" s="11">
        <f t="shared" si="1"/>
        <v>1.3300532250065839E-5</v>
      </c>
      <c r="Q18" s="4">
        <f t="shared" ref="Q18" si="4">J18/$C$2</f>
        <v>0.39228163234812391</v>
      </c>
      <c r="R18" s="4">
        <f t="shared" ref="R18" si="5">K18/$C$2</f>
        <v>0.23098927054658722</v>
      </c>
      <c r="S18" s="4">
        <f t="shared" ref="S18" si="6">L18/$C$2</f>
        <v>9.1101220065859426E-2</v>
      </c>
      <c r="T18" s="4">
        <f t="shared" ref="T18" si="7">M18/$C$2</f>
        <v>4.6041251214031617E-2</v>
      </c>
      <c r="U18" s="4">
        <f t="shared" ref="U18" si="8">N18/$C$2</f>
        <v>4.6041251214031617E-2</v>
      </c>
    </row>
    <row r="19" spans="1:26" x14ac:dyDescent="0.25">
      <c r="A19" t="s">
        <v>31</v>
      </c>
      <c r="B19">
        <v>12</v>
      </c>
      <c r="C19">
        <v>1094636</v>
      </c>
      <c r="D19">
        <v>89146.7</v>
      </c>
      <c r="E19">
        <v>4.0971013008296628E-2</v>
      </c>
      <c r="F19">
        <v>1.5555306568341301E-2</v>
      </c>
      <c r="G19">
        <v>0.43447824546598962</v>
      </c>
      <c r="H19">
        <v>1.6030388916306491E-3</v>
      </c>
      <c r="I19">
        <v>2.400458664793118E-3</v>
      </c>
      <c r="J19">
        <v>110595471</v>
      </c>
      <c r="K19">
        <v>110618178</v>
      </c>
      <c r="L19">
        <v>110736196</v>
      </c>
      <c r="M19">
        <v>111000631</v>
      </c>
      <c r="N19">
        <v>111000631</v>
      </c>
      <c r="O19" s="11">
        <f t="shared" si="1"/>
        <v>1.3126042531578832E-2</v>
      </c>
      <c r="Q19" s="4">
        <f t="shared" ref="Q19" si="9">J19/$C$3</f>
        <v>51.338914773447314</v>
      </c>
      <c r="R19" s="4">
        <f t="shared" ref="R19" si="10">K19/$C$3</f>
        <v>51.34945546491705</v>
      </c>
      <c r="S19" s="4">
        <f t="shared" ref="S19" si="11">L19/$C$3</f>
        <v>51.404239951017139</v>
      </c>
      <c r="T19" s="4">
        <f t="shared" ref="T19" si="12">M19/$C$3</f>
        <v>51.526991866673043</v>
      </c>
      <c r="U19" s="4">
        <f t="shared" ref="U19" si="13">N19/$C$3</f>
        <v>51.526991866673043</v>
      </c>
    </row>
    <row r="20" spans="1:26" x14ac:dyDescent="0.25">
      <c r="A20" t="s">
        <v>32</v>
      </c>
      <c r="B20">
        <v>136</v>
      </c>
      <c r="C20">
        <v>76323116.799999997</v>
      </c>
      <c r="D20">
        <v>1131443.2</v>
      </c>
      <c r="E20">
        <v>0.46433814742736179</v>
      </c>
      <c r="F20">
        <v>1.084588374651775</v>
      </c>
      <c r="G20">
        <v>5.5143651574362789</v>
      </c>
      <c r="H20">
        <v>2.0345648838050481E-2</v>
      </c>
      <c r="I20">
        <v>3.046644052063904E-2</v>
      </c>
      <c r="O20" s="11">
        <f t="shared" si="1"/>
        <v>0</v>
      </c>
      <c r="Q20" s="4"/>
      <c r="R20" s="4"/>
      <c r="S20" s="4"/>
      <c r="T20" s="4"/>
      <c r="U20" s="4"/>
    </row>
    <row r="21" spans="1:26" x14ac:dyDescent="0.25">
      <c r="A21" t="s">
        <v>33</v>
      </c>
      <c r="B21">
        <v>566</v>
      </c>
      <c r="C21">
        <v>70955424.900000006</v>
      </c>
      <c r="D21">
        <v>460587.5</v>
      </c>
      <c r="E21">
        <v>1.932466113557991</v>
      </c>
      <c r="F21">
        <v>1.0083108786906489</v>
      </c>
      <c r="G21">
        <v>2.2447858292406391</v>
      </c>
      <c r="H21">
        <v>8.2822995747339132E-3</v>
      </c>
      <c r="I21">
        <v>1.24022678940488E-2</v>
      </c>
      <c r="J21">
        <v>85431103</v>
      </c>
      <c r="K21">
        <v>126434313</v>
      </c>
      <c r="L21">
        <v>129584771</v>
      </c>
      <c r="M21">
        <v>163548354</v>
      </c>
      <c r="N21">
        <v>163548354</v>
      </c>
      <c r="O21" s="11">
        <f t="shared" si="1"/>
        <v>1.5841425113579506E-2</v>
      </c>
      <c r="Q21" s="4">
        <f t="shared" ref="Q21" si="14">J21/$C$5</f>
        <v>52.898188246512404</v>
      </c>
      <c r="R21" s="4">
        <f t="shared" ref="R21" si="15">K21/$C$5</f>
        <v>78.287015560275165</v>
      </c>
      <c r="S21" s="4">
        <f t="shared" ref="S21" si="16">L21/$C$5</f>
        <v>80.237751469031153</v>
      </c>
      <c r="T21" s="4">
        <f t="shared" ref="T21" si="17">M21/$C$5</f>
        <v>101.26770360555042</v>
      </c>
      <c r="U21" s="4">
        <f t="shared" ref="U21" si="18">N21/$C$5</f>
        <v>101.26770360555042</v>
      </c>
    </row>
    <row r="22" spans="1:26" x14ac:dyDescent="0.25">
      <c r="A22" t="s">
        <v>34</v>
      </c>
      <c r="B22">
        <v>3</v>
      </c>
      <c r="C22">
        <v>104974</v>
      </c>
      <c r="D22">
        <v>1227.2</v>
      </c>
      <c r="E22">
        <v>1.024275325207416E-2</v>
      </c>
      <c r="F22">
        <v>1.491731271130366E-3</v>
      </c>
      <c r="G22">
        <v>5.9810593419146471E-3</v>
      </c>
      <c r="H22">
        <v>2.2067550765301839E-5</v>
      </c>
      <c r="I22">
        <v>3.3044889754013492E-5</v>
      </c>
      <c r="O22" s="11">
        <f t="shared" si="1"/>
        <v>0</v>
      </c>
      <c r="Q22" s="4"/>
      <c r="R22" s="4"/>
      <c r="S22" s="4"/>
      <c r="T22" s="4"/>
      <c r="U22" s="4"/>
    </row>
    <row r="23" spans="1:26" x14ac:dyDescent="0.25">
      <c r="A23" t="s">
        <v>35</v>
      </c>
      <c r="B23">
        <v>2</v>
      </c>
      <c r="C23">
        <v>254286</v>
      </c>
      <c r="D23">
        <v>1435.5</v>
      </c>
      <c r="E23">
        <v>6.8285021680494383E-3</v>
      </c>
      <c r="F23">
        <v>3.6135269496318729E-3</v>
      </c>
      <c r="G23">
        <v>6.9962603367979747E-3</v>
      </c>
      <c r="H23">
        <v>2.5813208216746069E-5</v>
      </c>
      <c r="I23">
        <v>3.8653796644301142E-5</v>
      </c>
      <c r="O23" s="11">
        <f t="shared" si="1"/>
        <v>0</v>
      </c>
      <c r="Q23" s="4"/>
      <c r="R23" s="4"/>
      <c r="S23" s="4"/>
      <c r="T23" s="4"/>
      <c r="U23" s="4"/>
    </row>
    <row r="24" spans="1:26" x14ac:dyDescent="0.25">
      <c r="A24" t="s">
        <v>36</v>
      </c>
      <c r="B24">
        <v>3</v>
      </c>
      <c r="C24">
        <v>1998895</v>
      </c>
      <c r="D24">
        <v>26595.5</v>
      </c>
      <c r="E24">
        <v>1.024275325207416E-2</v>
      </c>
      <c r="F24">
        <v>2.8405263962563421E-2</v>
      </c>
      <c r="G24">
        <v>0.12961967383302719</v>
      </c>
      <c r="H24">
        <v>4.7824115578437489E-4</v>
      </c>
      <c r="I24">
        <v>7.1613866154894524E-4</v>
      </c>
      <c r="J24">
        <v>84301</v>
      </c>
      <c r="K24">
        <v>5182224</v>
      </c>
      <c r="L24">
        <v>3780298</v>
      </c>
      <c r="M24">
        <v>4041106</v>
      </c>
      <c r="N24">
        <v>4041106</v>
      </c>
      <c r="O24" s="11">
        <f t="shared" si="1"/>
        <v>4.0587777349617685E-4</v>
      </c>
      <c r="Q24" s="4">
        <f t="shared" ref="Q24" si="19">J24/$C$8</f>
        <v>0.26603614009177035</v>
      </c>
      <c r="R24" s="4">
        <f t="shared" ref="R24" si="20">K24/$C$8</f>
        <v>16.354003749076931</v>
      </c>
      <c r="S24" s="4">
        <f t="shared" ref="S24" si="21">L24/$C$8</f>
        <v>11.929821571708986</v>
      </c>
      <c r="T24" s="4">
        <f t="shared" ref="T24" si="22">M24/$C$8</f>
        <v>12.752876501366456</v>
      </c>
      <c r="U24" s="4">
        <f t="shared" ref="U24" si="23">N24/$C$8</f>
        <v>12.752876501366456</v>
      </c>
    </row>
    <row r="25" spans="1:26" x14ac:dyDescent="0.25">
      <c r="A25" t="s">
        <v>37</v>
      </c>
      <c r="B25">
        <v>1872</v>
      </c>
      <c r="C25">
        <v>207140775.30000001</v>
      </c>
      <c r="D25">
        <v>890834.1</v>
      </c>
      <c r="E25">
        <v>6.3914780292942748</v>
      </c>
      <c r="F25">
        <v>2.9435705226170148</v>
      </c>
      <c r="G25">
        <v>4.3416978617186492</v>
      </c>
      <c r="H25">
        <v>1.601900808768902E-2</v>
      </c>
      <c r="I25">
        <v>2.398754451076909E-2</v>
      </c>
      <c r="J25">
        <v>35856976</v>
      </c>
      <c r="K25">
        <v>357938758</v>
      </c>
      <c r="L25">
        <v>437806751</v>
      </c>
      <c r="M25">
        <v>548749831</v>
      </c>
      <c r="N25">
        <v>548749831</v>
      </c>
      <c r="O25" s="11">
        <f t="shared" si="1"/>
        <v>4.5710671048956028E-2</v>
      </c>
      <c r="Q25" s="4">
        <f t="shared" ref="Q25" si="24">J25/$C$9</f>
        <v>0.43720887675688413</v>
      </c>
      <c r="R25" s="4">
        <f t="shared" ref="R25" si="25">K25/$C$9</f>
        <v>4.3643948762699392</v>
      </c>
      <c r="S25" s="4">
        <f t="shared" ref="S25" si="26">L25/$C$9</f>
        <v>5.3382359360502365</v>
      </c>
      <c r="T25" s="4">
        <f t="shared" ref="T25" si="27">M25/$C$9</f>
        <v>6.6909796640977195</v>
      </c>
      <c r="U25" s="4">
        <f t="shared" ref="U25" si="28">N25/$C$9</f>
        <v>6.6909796640977195</v>
      </c>
    </row>
    <row r="26" spans="1:26" x14ac:dyDescent="0.25">
      <c r="A26" t="s">
        <v>38</v>
      </c>
      <c r="B26">
        <v>34</v>
      </c>
      <c r="C26">
        <v>10081828</v>
      </c>
      <c r="D26">
        <v>176670.4</v>
      </c>
      <c r="E26">
        <v>0.11608453685684041</v>
      </c>
      <c r="F26">
        <v>0.14326764815818879</v>
      </c>
      <c r="G26">
        <v>0.86104640348744899</v>
      </c>
      <c r="H26">
        <v>3.176892943877266E-3</v>
      </c>
      <c r="I26">
        <v>4.7572147089288341E-3</v>
      </c>
      <c r="J26">
        <v>96949505</v>
      </c>
      <c r="K26">
        <v>41065947</v>
      </c>
      <c r="L26">
        <v>52159132</v>
      </c>
      <c r="M26">
        <v>69265831</v>
      </c>
      <c r="N26">
        <v>69265831</v>
      </c>
      <c r="O26" s="11">
        <f t="shared" si="1"/>
        <v>7.7887959981847539E-3</v>
      </c>
      <c r="P26" s="10"/>
      <c r="Q26" s="4">
        <f t="shared" ref="Q26" si="29">J26/$C$10</f>
        <v>3060.2747790404042</v>
      </c>
      <c r="R26" s="4">
        <f t="shared" ref="R26" si="30">K26/$C$10</f>
        <v>1296.2735795454546</v>
      </c>
      <c r="S26" s="4">
        <f t="shared" ref="S26" si="31">L26/$C$10</f>
        <v>1646.4372474747474</v>
      </c>
      <c r="T26" s="4">
        <f t="shared" ref="T26" si="32">M26/$C$10</f>
        <v>2186.4214330808081</v>
      </c>
      <c r="U26" s="4">
        <f t="shared" ref="U26" si="33">N26/$C$10</f>
        <v>2186.4214330808081</v>
      </c>
    </row>
    <row r="27" spans="1:26" x14ac:dyDescent="0.25">
      <c r="A27" t="s">
        <v>39</v>
      </c>
      <c r="B27">
        <v>106</v>
      </c>
      <c r="C27">
        <v>5442485</v>
      </c>
      <c r="D27">
        <v>22141.200000000001</v>
      </c>
      <c r="E27">
        <v>0.36191061490662019</v>
      </c>
      <c r="F27">
        <v>7.7340342057632835E-2</v>
      </c>
      <c r="G27">
        <v>0.10791055337451159</v>
      </c>
      <c r="H27">
        <v>3.9814378667267031E-4</v>
      </c>
      <c r="I27">
        <v>5.9619745194064812E-4</v>
      </c>
      <c r="J27">
        <v>5042329</v>
      </c>
      <c r="K27">
        <v>9281265</v>
      </c>
      <c r="L27">
        <v>7683853</v>
      </c>
      <c r="M27">
        <v>7555274</v>
      </c>
      <c r="N27">
        <v>7555274</v>
      </c>
      <c r="O27" s="11">
        <f t="shared" si="1"/>
        <v>8.7952235296630688E-4</v>
      </c>
      <c r="Q27" s="6">
        <f t="shared" ref="Q27" si="34">J27/$C$11</f>
        <v>2.7076381882024054</v>
      </c>
      <c r="R27" s="6">
        <f t="shared" ref="R27" si="35">K27/$C$11</f>
        <v>4.9838690709841424</v>
      </c>
      <c r="S27" s="6">
        <f t="shared" ref="S27" si="36">L27/$C$11</f>
        <v>4.1260881262078728</v>
      </c>
      <c r="T27" s="6">
        <f t="shared" ref="T27" si="37">M27/$C$11</f>
        <v>4.0570435615630673</v>
      </c>
      <c r="U27" s="6">
        <f t="shared" ref="U27" si="38">N27/$C$11</f>
        <v>4.0570435615630673</v>
      </c>
    </row>
    <row r="28" spans="1:26" x14ac:dyDescent="0.25">
      <c r="A28" t="s">
        <v>40</v>
      </c>
      <c r="B28">
        <v>2</v>
      </c>
      <c r="C28">
        <v>2271602</v>
      </c>
      <c r="D28">
        <v>8740.7000000000007</v>
      </c>
      <c r="E28">
        <v>6.8285021680494383E-3</v>
      </c>
      <c r="F28">
        <v>3.2280562224572568E-2</v>
      </c>
      <c r="G28">
        <v>4.2599939202960693E-2</v>
      </c>
      <c r="H28">
        <v>1.571755549008098E-4</v>
      </c>
      <c r="I28">
        <v>2.3536136560699619E-4</v>
      </c>
      <c r="J28">
        <v>0</v>
      </c>
      <c r="K28">
        <v>0</v>
      </c>
      <c r="L28">
        <v>0</v>
      </c>
      <c r="M28">
        <v>0</v>
      </c>
      <c r="N28">
        <v>0</v>
      </c>
      <c r="O28" s="11">
        <f t="shared" si="1"/>
        <v>0</v>
      </c>
      <c r="Q28" s="4">
        <f t="shared" ref="Q28" si="39">J28/$C$12</f>
        <v>0</v>
      </c>
      <c r="R28" s="4">
        <f t="shared" ref="R28" si="40">K28/$C$12</f>
        <v>0</v>
      </c>
      <c r="S28" s="4">
        <f t="shared" ref="S28" si="41">L28/$C$12</f>
        <v>0</v>
      </c>
      <c r="T28" s="4">
        <f t="shared" ref="T28" si="42">M28/$C$12</f>
        <v>0</v>
      </c>
      <c r="U28" s="4">
        <f t="shared" ref="U28" si="43">N28/$C$12</f>
        <v>0</v>
      </c>
    </row>
    <row r="29" spans="1:26" x14ac:dyDescent="0.25">
      <c r="A29" t="s">
        <v>41</v>
      </c>
      <c r="B29">
        <v>380</v>
      </c>
      <c r="C29">
        <v>24537545</v>
      </c>
      <c r="D29">
        <v>254612.1</v>
      </c>
      <c r="E29">
        <v>1.297415411929393</v>
      </c>
      <c r="F29">
        <v>0.34869037279010567</v>
      </c>
      <c r="G29">
        <v>1.24091434099536</v>
      </c>
      <c r="H29">
        <v>4.5784431569508696E-3</v>
      </c>
      <c r="I29">
        <v>6.8559556506990358E-3</v>
      </c>
      <c r="J29">
        <v>246604182</v>
      </c>
      <c r="K29">
        <v>228568745</v>
      </c>
      <c r="L29">
        <v>205068918</v>
      </c>
      <c r="M29">
        <v>195845007</v>
      </c>
      <c r="N29">
        <v>195845007</v>
      </c>
      <c r="O29" s="11">
        <f t="shared" si="1"/>
        <v>2.5399756394364176E-2</v>
      </c>
      <c r="Q29" s="4">
        <f t="shared" ref="Q29" si="44">J29/$C$13</f>
        <v>12.549119070342828</v>
      </c>
      <c r="R29" s="4">
        <f t="shared" ref="R29" si="45">K29/$C$13</f>
        <v>11.631337204021248</v>
      </c>
      <c r="S29" s="4">
        <f t="shared" ref="S29" si="46">L29/$C$13</f>
        <v>10.435485111150182</v>
      </c>
      <c r="T29" s="4">
        <f t="shared" ref="T29" si="47">M29/$C$13</f>
        <v>9.9661015163770603</v>
      </c>
      <c r="U29" s="4">
        <f t="shared" ref="U29" si="48">N29/$C$13</f>
        <v>9.9661015163770603</v>
      </c>
    </row>
    <row r="30" spans="1:26" x14ac:dyDescent="0.25">
      <c r="A30" t="s">
        <v>42</v>
      </c>
      <c r="B30">
        <v>114</v>
      </c>
      <c r="C30">
        <v>9190934</v>
      </c>
      <c r="D30">
        <v>120777.4</v>
      </c>
      <c r="E30">
        <v>0.38922462357881799</v>
      </c>
      <c r="F30">
        <v>0.1306076138729142</v>
      </c>
      <c r="G30">
        <v>0.58863819798090122</v>
      </c>
      <c r="H30">
        <v>2.1718231794338049E-3</v>
      </c>
      <c r="I30">
        <v>3.2521804659194822E-3</v>
      </c>
      <c r="J30">
        <v>57799879</v>
      </c>
      <c r="K30">
        <v>41101071</v>
      </c>
      <c r="L30">
        <v>70446168</v>
      </c>
      <c r="M30">
        <v>73669852</v>
      </c>
      <c r="N30">
        <v>73669852</v>
      </c>
      <c r="O30" s="11">
        <f t="shared" si="1"/>
        <v>7.5039920350994721E-3</v>
      </c>
      <c r="Q30" s="4">
        <f t="shared" ref="Q30" si="49">J30/$C$14</f>
        <v>18337.525063451776</v>
      </c>
      <c r="R30" s="4">
        <f t="shared" ref="R30" si="50">K30/$C$14</f>
        <v>13039.679885786802</v>
      </c>
      <c r="S30" s="4">
        <f t="shared" ref="S30" si="51">L30/$C$14</f>
        <v>22349.672588832487</v>
      </c>
      <c r="T30" s="4">
        <f t="shared" ref="T30" si="52">M30/$C$14</f>
        <v>23372.414974619289</v>
      </c>
      <c r="U30" s="4">
        <f t="shared" ref="U30" si="53">N30/$C$14</f>
        <v>23372.414974619289</v>
      </c>
    </row>
    <row r="31" spans="1:26" x14ac:dyDescent="0.25">
      <c r="A31" t="s">
        <v>43</v>
      </c>
      <c r="B31">
        <v>210</v>
      </c>
      <c r="C31">
        <v>21604416</v>
      </c>
      <c r="D31">
        <v>266901.5</v>
      </c>
      <c r="E31">
        <v>0.71699272764519106</v>
      </c>
      <c r="F31">
        <v>0.30700919219720318</v>
      </c>
      <c r="G31">
        <v>1.300809737570104</v>
      </c>
      <c r="H31">
        <v>4.799431551976212E-3</v>
      </c>
      <c r="I31">
        <v>7.1868730791075867E-3</v>
      </c>
      <c r="O31" s="11">
        <f t="shared" si="1"/>
        <v>0</v>
      </c>
      <c r="Q31" s="4">
        <f t="shared" ref="Q31" si="54">J31/$C$15</f>
        <v>0</v>
      </c>
      <c r="R31" s="4">
        <f t="shared" ref="R31" si="55">K31/$C$15</f>
        <v>0</v>
      </c>
      <c r="S31" s="4">
        <f t="shared" ref="S31" si="56">L31/$C$15</f>
        <v>0</v>
      </c>
      <c r="T31" s="4">
        <f t="shared" ref="T31" si="57">M31/$C$15</f>
        <v>0</v>
      </c>
      <c r="U31" s="4">
        <f t="shared" ref="U31" si="58">N31/$C$15</f>
        <v>0</v>
      </c>
    </row>
    <row r="32" spans="1:26" x14ac:dyDescent="0.25">
      <c r="A32" t="s">
        <v>44</v>
      </c>
      <c r="B32">
        <v>31</v>
      </c>
      <c r="C32">
        <v>3372907.4</v>
      </c>
      <c r="D32">
        <v>11378.1</v>
      </c>
      <c r="E32">
        <v>0.1058417836047663</v>
      </c>
      <c r="F32">
        <v>4.7930644190056763E-2</v>
      </c>
      <c r="G32">
        <v>5.5453953143936627E-2</v>
      </c>
      <c r="H32">
        <v>2.0460136845068511E-4</v>
      </c>
      <c r="I32">
        <v>3.0637879735180969E-4</v>
      </c>
      <c r="J32">
        <v>1451289</v>
      </c>
      <c r="K32">
        <v>1296250</v>
      </c>
      <c r="L32">
        <v>1053804</v>
      </c>
      <c r="M32">
        <v>1331317</v>
      </c>
      <c r="N32">
        <v>1331317</v>
      </c>
      <c r="O32" s="11">
        <f t="shared" si="1"/>
        <v>1.5316593098738468E-4</v>
      </c>
    </row>
    <row r="33" spans="1:21" s="12" customFormat="1" x14ac:dyDescent="0.25">
      <c r="A33" s="12" t="s">
        <v>45</v>
      </c>
      <c r="B33" s="12">
        <v>19203</v>
      </c>
      <c r="C33" s="12">
        <v>2143655196</v>
      </c>
      <c r="D33" s="12">
        <v>10028626.300000001</v>
      </c>
      <c r="E33" s="12">
        <v>65.563863566526678</v>
      </c>
      <c r="F33" s="12">
        <v>30.462376306459639</v>
      </c>
      <c r="G33" s="12">
        <v>48.876963020034161</v>
      </c>
      <c r="H33" s="12">
        <v>0.1803350879901329</v>
      </c>
      <c r="I33" s="12">
        <v>0.27004143616989912</v>
      </c>
      <c r="J33" s="12">
        <v>1063730774</v>
      </c>
      <c r="K33" s="12">
        <v>3281633822</v>
      </c>
      <c r="L33" s="12">
        <v>3787530526</v>
      </c>
      <c r="M33" s="12">
        <v>4598719342</v>
      </c>
      <c r="N33" s="12">
        <v>4598719342</v>
      </c>
      <c r="O33" s="13">
        <f t="shared" si="1"/>
        <v>0.41064761086218837</v>
      </c>
      <c r="Q33" s="14">
        <f t="shared" ref="Q33" si="59">SUM(J18:J31)/SUM($C$2:$C$15)</f>
        <v>4.3518181460186938</v>
      </c>
      <c r="R33" s="14">
        <f t="shared" ref="R33" si="60">SUM(K18:K31)/SUM($C$2:$C$15)</f>
        <v>6.2714855731466503</v>
      </c>
      <c r="S33" s="14">
        <f t="shared" ref="S33" si="61">SUM(L18:L31)/SUM($C$2:$C$15)</f>
        <v>6.9323175005850191</v>
      </c>
      <c r="T33" s="14">
        <f t="shared" ref="T33" si="62">SUM(M18:M31)/SUM($C$2:$C$15)</f>
        <v>7.9979161811101669</v>
      </c>
      <c r="U33" s="14">
        <f t="shared" ref="U33" si="63">SUM(N18:N31)/SUM($C$2:$C$15)</f>
        <v>7.9979161811101669</v>
      </c>
    </row>
    <row r="34" spans="1:21" x14ac:dyDescent="0.25">
      <c r="A34" t="s">
        <v>46</v>
      </c>
      <c r="B34">
        <v>61</v>
      </c>
      <c r="C34">
        <v>7487889</v>
      </c>
      <c r="D34">
        <v>55088.6</v>
      </c>
      <c r="E34">
        <v>0.20826931612550789</v>
      </c>
      <c r="F34">
        <v>0.1064065213867537</v>
      </c>
      <c r="G34">
        <v>0.26848776537076208</v>
      </c>
      <c r="H34">
        <v>9.9060501718497922E-4</v>
      </c>
      <c r="I34">
        <v>1.483374114816613E-3</v>
      </c>
      <c r="J34">
        <v>8775679</v>
      </c>
      <c r="K34">
        <v>14897286</v>
      </c>
      <c r="L34">
        <v>14676444</v>
      </c>
      <c r="M34">
        <v>17496473</v>
      </c>
      <c r="N34">
        <v>17496473</v>
      </c>
      <c r="O34" s="11">
        <f t="shared" si="1"/>
        <v>1.7378697486674639E-3</v>
      </c>
      <c r="Q34" s="4">
        <f t="shared" ref="Q34" si="64">J34/$C$2</f>
        <v>12.608226967880602</v>
      </c>
      <c r="R34" s="4">
        <f t="shared" ref="R34" si="65">K34/$C$2</f>
        <v>21.403285500008622</v>
      </c>
      <c r="S34" s="4">
        <f t="shared" ref="S34" si="66">L34/$C$2</f>
        <v>21.085996540369067</v>
      </c>
      <c r="T34" s="4">
        <f t="shared" ref="T34" si="67">M34/$C$2</f>
        <v>25.13759934945146</v>
      </c>
      <c r="U34" s="4">
        <f t="shared" ref="U34" si="68">N34/$C$2</f>
        <v>25.13759934945146</v>
      </c>
    </row>
    <row r="35" spans="1:21" x14ac:dyDescent="0.25">
      <c r="A35" t="s">
        <v>47</v>
      </c>
      <c r="B35">
        <v>443</v>
      </c>
      <c r="C35">
        <v>34469118.5</v>
      </c>
      <c r="D35">
        <v>92951.2</v>
      </c>
      <c r="E35">
        <v>1.5125132302229509</v>
      </c>
      <c r="F35">
        <v>0.48982283188930797</v>
      </c>
      <c r="G35">
        <v>0.45302040669994842</v>
      </c>
      <c r="H35">
        <v>1.671451535769006E-3</v>
      </c>
      <c r="I35">
        <v>2.502902669901612E-3</v>
      </c>
      <c r="J35">
        <v>29010810</v>
      </c>
      <c r="K35">
        <v>56701107</v>
      </c>
      <c r="L35">
        <v>52056583</v>
      </c>
      <c r="M35">
        <v>57595889</v>
      </c>
      <c r="N35">
        <v>57595889</v>
      </c>
      <c r="O35" s="11">
        <f t="shared" si="1"/>
        <v>5.993971897285161E-3</v>
      </c>
      <c r="Q35" s="4">
        <f t="shared" ref="Q35" si="69">J35/$C$3</f>
        <v>13.466948407848212</v>
      </c>
      <c r="R35" s="4">
        <f t="shared" ref="R35" si="70">K35/$C$3</f>
        <v>26.320908745287745</v>
      </c>
      <c r="S35" s="4">
        <f t="shared" ref="S35" si="71">L35/$C$3</f>
        <v>24.164899826990986</v>
      </c>
      <c r="T35" s="4">
        <f t="shared" ref="T35" si="72">M35/$C$3</f>
        <v>26.736270571802454</v>
      </c>
      <c r="U35" s="4">
        <f t="shared" ref="U35" si="73">N35/$C$3</f>
        <v>26.736270571802454</v>
      </c>
    </row>
    <row r="36" spans="1:21" s="12" customFormat="1" x14ac:dyDescent="0.25">
      <c r="A36" s="12" t="s">
        <v>48</v>
      </c>
      <c r="B36" s="12">
        <v>2405</v>
      </c>
      <c r="C36" s="12">
        <v>499114505.5</v>
      </c>
      <c r="D36" s="12">
        <v>3940027.7</v>
      </c>
      <c r="E36" s="12">
        <v>8.2112738570794495</v>
      </c>
      <c r="F36" s="12">
        <v>7.0926583318642624</v>
      </c>
      <c r="G36" s="12">
        <v>19.202688626538041</v>
      </c>
      <c r="H36" s="12">
        <v>7.0849707697559827E-2</v>
      </c>
      <c r="I36" s="12">
        <v>0.1060933678082296</v>
      </c>
      <c r="J36" s="12">
        <v>2083285113</v>
      </c>
      <c r="K36" s="12">
        <v>2411778124</v>
      </c>
      <c r="L36" s="12">
        <v>2426282603</v>
      </c>
      <c r="M36" s="12">
        <v>2680796333</v>
      </c>
      <c r="N36" s="12">
        <v>2680796333</v>
      </c>
      <c r="O36" s="13">
        <f t="shared" si="1"/>
        <v>0.29104802067400393</v>
      </c>
      <c r="Q36" s="14">
        <f t="shared" ref="Q36" si="74">J36/$C$4</f>
        <v>10661.479675337636</v>
      </c>
      <c r="R36" s="14">
        <f t="shared" ref="R36" si="75">K36/$C$4</f>
        <v>12342.584934724646</v>
      </c>
      <c r="S36" s="14">
        <f t="shared" ref="S36" si="76">L36/$C$4</f>
        <v>12416.813472669304</v>
      </c>
      <c r="T36" s="14">
        <f t="shared" ref="T36" si="77">M36/$C$4</f>
        <v>13719.320240733254</v>
      </c>
      <c r="U36" s="14">
        <f t="shared" ref="U36" si="78">N36/$C$4</f>
        <v>13719.320240733254</v>
      </c>
    </row>
    <row r="37" spans="1:21" x14ac:dyDescent="0.25">
      <c r="A37" t="s">
        <v>49</v>
      </c>
      <c r="B37">
        <v>92</v>
      </c>
      <c r="C37">
        <v>2922416</v>
      </c>
      <c r="D37">
        <v>22581.4</v>
      </c>
      <c r="E37">
        <v>0.31411109973027418</v>
      </c>
      <c r="F37">
        <v>4.1528943685595669E-2</v>
      </c>
      <c r="G37">
        <v>0.1100559757362381</v>
      </c>
      <c r="H37">
        <v>4.0605947755181462E-4</v>
      </c>
      <c r="I37">
        <v>6.0805074437033908E-4</v>
      </c>
      <c r="O37" s="11">
        <f t="shared" si="1"/>
        <v>0</v>
      </c>
      <c r="Q37" s="4">
        <f t="shared" ref="Q37" si="79">J37/$C$5</f>
        <v>0</v>
      </c>
      <c r="R37" s="4">
        <f t="shared" ref="R37" si="80">K37/$C$5</f>
        <v>0</v>
      </c>
      <c r="S37" s="4">
        <f t="shared" ref="S37" si="81">L37/$C$5</f>
        <v>0</v>
      </c>
      <c r="T37" s="4">
        <f t="shared" ref="T37" si="82">M37/$C$5</f>
        <v>0</v>
      </c>
      <c r="U37" s="4">
        <f t="shared" ref="U37" si="83">N37/$C$5</f>
        <v>0</v>
      </c>
    </row>
    <row r="38" spans="1:21" x14ac:dyDescent="0.25">
      <c r="A38" t="s">
        <v>50</v>
      </c>
      <c r="B38">
        <v>15</v>
      </c>
      <c r="C38">
        <v>407077</v>
      </c>
      <c r="D38">
        <v>2504.6</v>
      </c>
      <c r="E38">
        <v>5.1213766260370788E-2</v>
      </c>
      <c r="F38">
        <v>5.784760899441156E-3</v>
      </c>
      <c r="G38">
        <v>1.2206780661472801E-2</v>
      </c>
      <c r="H38">
        <v>4.5037799581791859E-5</v>
      </c>
      <c r="I38">
        <v>6.7441517990467868E-5</v>
      </c>
      <c r="J38">
        <v>113437</v>
      </c>
      <c r="K38">
        <v>1252270</v>
      </c>
      <c r="L38">
        <v>1533035</v>
      </c>
      <c r="M38">
        <v>1902761</v>
      </c>
      <c r="N38">
        <v>1902761</v>
      </c>
      <c r="O38" s="11">
        <f t="shared" si="1"/>
        <v>1.5885960564915495E-4</v>
      </c>
      <c r="Q38" s="4">
        <f t="shared" ref="Q38" si="84">J38/$C$6</f>
        <v>0.34462361998043517</v>
      </c>
      <c r="R38" s="4">
        <f t="shared" ref="R38" si="85">K38/$C$6</f>
        <v>3.8044184930216733</v>
      </c>
      <c r="S38" s="4">
        <f t="shared" ref="S38" si="86">L38/$C$6</f>
        <v>4.6573875477728288</v>
      </c>
      <c r="T38" s="4">
        <f t="shared" ref="T38" si="87">M38/$C$6</f>
        <v>5.7806216999532145</v>
      </c>
      <c r="U38" s="4">
        <f t="shared" ref="U38" si="88">N38/$C$6</f>
        <v>5.7806216999532145</v>
      </c>
    </row>
    <row r="39" spans="1:21" x14ac:dyDescent="0.25">
      <c r="A39" t="s">
        <v>51</v>
      </c>
      <c r="B39">
        <v>79</v>
      </c>
      <c r="C39">
        <v>3615306</v>
      </c>
      <c r="D39">
        <v>21049.200000000001</v>
      </c>
      <c r="E39">
        <v>0.26972583563795283</v>
      </c>
      <c r="F39">
        <v>5.1375245440825723E-2</v>
      </c>
      <c r="G39">
        <v>0.102588424299079</v>
      </c>
      <c r="H39">
        <v>3.7850740675439317E-4</v>
      </c>
      <c r="I39">
        <v>5.6679310088834803E-4</v>
      </c>
      <c r="J39">
        <v>7307786</v>
      </c>
      <c r="K39">
        <v>12141773</v>
      </c>
      <c r="L39">
        <v>11426414</v>
      </c>
      <c r="M39">
        <v>11981061</v>
      </c>
      <c r="N39">
        <v>11981061</v>
      </c>
      <c r="O39" s="11">
        <f t="shared" si="1"/>
        <v>1.2994055941488723E-3</v>
      </c>
      <c r="Q39" s="4">
        <f t="shared" ref="Q39" si="89">J39/$C$7</f>
        <v>257.31640845070422</v>
      </c>
      <c r="R39" s="4">
        <f t="shared" ref="R39" si="90">K39/$C$7</f>
        <v>427.52721830985917</v>
      </c>
      <c r="S39" s="4">
        <f t="shared" ref="S39" si="91">L39/$C$7</f>
        <v>402.33852112676055</v>
      </c>
      <c r="T39" s="4">
        <f t="shared" ref="T39" si="92">M39/$C$7</f>
        <v>421.86834507042255</v>
      </c>
      <c r="U39" s="4">
        <f t="shared" ref="U39" si="93">N39/$C$7</f>
        <v>421.86834507042255</v>
      </c>
    </row>
    <row r="40" spans="1:21" x14ac:dyDescent="0.25">
      <c r="A40" t="s">
        <v>52</v>
      </c>
      <c r="B40">
        <v>119</v>
      </c>
      <c r="C40">
        <v>6974884</v>
      </c>
      <c r="D40">
        <v>42233.5</v>
      </c>
      <c r="E40">
        <v>0.4062958789989416</v>
      </c>
      <c r="F40">
        <v>9.9116472415139475E-2</v>
      </c>
      <c r="G40">
        <v>0.2058352914901827</v>
      </c>
      <c r="H40">
        <v>7.5944418615252196E-4</v>
      </c>
      <c r="I40">
        <v>1.137224047772269E-3</v>
      </c>
      <c r="J40">
        <v>7505990</v>
      </c>
      <c r="K40">
        <v>27707161</v>
      </c>
      <c r="L40">
        <v>27002656</v>
      </c>
      <c r="M40">
        <v>28611375</v>
      </c>
      <c r="N40">
        <v>28611375</v>
      </c>
      <c r="O40" s="11">
        <f t="shared" si="1"/>
        <v>2.8301334888250393E-3</v>
      </c>
      <c r="Q40" s="4">
        <f t="shared" ref="Q40" si="94">J40/$C$8</f>
        <v>23.687318147678287</v>
      </c>
      <c r="R40" s="4">
        <f t="shared" ref="R40" si="95">K40/$C$8</f>
        <v>87.437944571727925</v>
      </c>
      <c r="S40" s="4">
        <f t="shared" ref="S40" si="96">L40/$C$8</f>
        <v>85.214675679599083</v>
      </c>
      <c r="T40" s="4">
        <f t="shared" ref="T40" si="97">M40/$C$8</f>
        <v>90.291452861984737</v>
      </c>
      <c r="U40" s="4">
        <f t="shared" ref="U40" si="98">N40/$C$8</f>
        <v>90.291452861984737</v>
      </c>
    </row>
    <row r="41" spans="1:21" x14ac:dyDescent="0.25">
      <c r="A41" t="s">
        <v>53</v>
      </c>
      <c r="B41">
        <v>12</v>
      </c>
      <c r="C41">
        <v>648049</v>
      </c>
      <c r="D41">
        <v>4386.6000000000004</v>
      </c>
      <c r="E41">
        <v>4.0971013008296628E-2</v>
      </c>
      <c r="F41">
        <v>9.2090894747724437E-3</v>
      </c>
      <c r="G41">
        <v>2.1379167950817141E-2</v>
      </c>
      <c r="H41">
        <v>7.8879985484903061E-5</v>
      </c>
      <c r="I41">
        <v>1.181182475513002E-4</v>
      </c>
      <c r="J41">
        <v>996606</v>
      </c>
      <c r="K41">
        <v>1459293</v>
      </c>
      <c r="L41">
        <v>973952</v>
      </c>
      <c r="M41">
        <v>916230</v>
      </c>
      <c r="N41">
        <v>916230</v>
      </c>
      <c r="O41" s="11">
        <f t="shared" si="1"/>
        <v>1.2469208406220433E-4</v>
      </c>
      <c r="Q41" s="4">
        <f t="shared" ref="Q41" si="99">J41/$C$9</f>
        <v>1.2151749490229496E-2</v>
      </c>
      <c r="R41" s="4">
        <f t="shared" ref="R41" si="100">K41/$C$9</f>
        <v>1.7793353611001209E-2</v>
      </c>
      <c r="S41" s="4">
        <f t="shared" ref="S41" si="101">L41/$C$9</f>
        <v>1.1875526255619571E-2</v>
      </c>
      <c r="T41" s="4">
        <f t="shared" ref="T41" si="102">M41/$C$9</f>
        <v>1.1171714233541612E-2</v>
      </c>
      <c r="U41" s="4">
        <f t="shared" ref="U41" si="103">N41/$C$9</f>
        <v>1.1171714233541612E-2</v>
      </c>
    </row>
    <row r="42" spans="1:21" x14ac:dyDescent="0.25">
      <c r="A42" t="s">
        <v>54</v>
      </c>
      <c r="B42">
        <v>110</v>
      </c>
      <c r="C42">
        <v>3201697</v>
      </c>
      <c r="D42">
        <v>9728.2000000000007</v>
      </c>
      <c r="E42">
        <v>0.37556761924271909</v>
      </c>
      <c r="F42">
        <v>4.5497661664643432E-2</v>
      </c>
      <c r="G42">
        <v>4.7412761970350437E-2</v>
      </c>
      <c r="H42">
        <v>1.7493281238185239E-4</v>
      </c>
      <c r="I42">
        <v>2.6195183874266128E-4</v>
      </c>
      <c r="J42">
        <v>2991654</v>
      </c>
      <c r="K42">
        <v>2383382</v>
      </c>
      <c r="L42">
        <v>1944798</v>
      </c>
      <c r="M42">
        <v>1947272</v>
      </c>
      <c r="N42">
        <v>1947272</v>
      </c>
      <c r="O42" s="11">
        <f t="shared" si="1"/>
        <v>2.6572814952999447E-4</v>
      </c>
      <c r="Q42" s="4">
        <f t="shared" ref="Q42" si="104">J42/$C$10</f>
        <v>94.433522727272731</v>
      </c>
      <c r="R42" s="4">
        <f t="shared" ref="R42" si="105">K42/$C$10</f>
        <v>75.233017676767673</v>
      </c>
      <c r="S42" s="4">
        <f t="shared" ref="S42" si="106">L42/$C$10</f>
        <v>61.388825757575759</v>
      </c>
      <c r="T42" s="4">
        <f t="shared" ref="T42" si="107">M42/$C$10</f>
        <v>61.466919191919189</v>
      </c>
      <c r="U42" s="4">
        <f t="shared" ref="U42" si="108">N42/$C$10</f>
        <v>61.466919191919189</v>
      </c>
    </row>
    <row r="43" spans="1:21" x14ac:dyDescent="0.25">
      <c r="A43" t="s">
        <v>55</v>
      </c>
      <c r="B43">
        <v>227</v>
      </c>
      <c r="C43">
        <v>1319474</v>
      </c>
      <c r="D43">
        <v>7546.6</v>
      </c>
      <c r="E43">
        <v>0.77503499607361126</v>
      </c>
      <c r="F43">
        <v>1.8750363206541321E-2</v>
      </c>
      <c r="G43">
        <v>3.6780200806464373E-2</v>
      </c>
      <c r="H43">
        <v>1.357032094242396E-4</v>
      </c>
      <c r="I43">
        <v>2.0320776158542879E-4</v>
      </c>
      <c r="J43">
        <v>2795293</v>
      </c>
      <c r="K43">
        <v>3281576</v>
      </c>
      <c r="L43">
        <v>3117928</v>
      </c>
      <c r="M43">
        <v>3303421</v>
      </c>
      <c r="N43">
        <v>3303421</v>
      </c>
      <c r="O43" s="11">
        <f t="shared" si="1"/>
        <v>3.7442471539758979E-4</v>
      </c>
      <c r="Q43" s="6">
        <f t="shared" ref="Q43" si="109">J43/$C$11</f>
        <v>1.5010210706232907</v>
      </c>
      <c r="R43" s="6">
        <f t="shared" ref="R43" si="110">K43/$C$11</f>
        <v>1.762146122374898</v>
      </c>
      <c r="S43" s="6">
        <f t="shared" ref="S43" si="111">L43/$C$11</f>
        <v>1.6742701479545563</v>
      </c>
      <c r="T43" s="6">
        <f t="shared" ref="T43" si="112">M43/$C$11</f>
        <v>1.7738764867008439</v>
      </c>
      <c r="U43" s="6">
        <f t="shared" ref="U43" si="113">N43/$C$11</f>
        <v>1.7738764867008439</v>
      </c>
    </row>
    <row r="44" spans="1:21" x14ac:dyDescent="0.25">
      <c r="A44" t="s">
        <v>56</v>
      </c>
      <c r="B44">
        <v>3</v>
      </c>
      <c r="C44">
        <v>83837</v>
      </c>
      <c r="D44">
        <v>1152.4000000000001</v>
      </c>
      <c r="E44">
        <v>1.024275325207416E-2</v>
      </c>
      <c r="F44">
        <v>1.191364286182831E-3</v>
      </c>
      <c r="G44">
        <v>5.6165032477366681E-3</v>
      </c>
      <c r="H44">
        <v>2.0722494704965641E-5</v>
      </c>
      <c r="I44">
        <v>3.1030745561053737E-5</v>
      </c>
      <c r="J44">
        <v>3308</v>
      </c>
      <c r="K44">
        <v>588535</v>
      </c>
      <c r="L44">
        <v>649451</v>
      </c>
      <c r="M44">
        <v>723560</v>
      </c>
      <c r="N44">
        <v>723560</v>
      </c>
      <c r="O44" s="11">
        <f t="shared" si="1"/>
        <v>6.3702799869108266E-5</v>
      </c>
      <c r="Q44" s="4">
        <f t="shared" ref="Q44" si="114">J44/$C$12</f>
        <v>1.8734312986125123E-4</v>
      </c>
      <c r="R44" s="4">
        <f t="shared" ref="R44" si="115">K44/$C$12</f>
        <v>3.3330710076448451E-2</v>
      </c>
      <c r="S44" s="4">
        <f t="shared" ref="S44" si="116">L44/$C$12</f>
        <v>3.6780587373494399E-2</v>
      </c>
      <c r="T44" s="4">
        <f t="shared" ref="T44" si="117">M44/$C$12</f>
        <v>4.0977628489240303E-2</v>
      </c>
      <c r="U44" s="4">
        <f t="shared" ref="U44" si="118">N44/$C$12</f>
        <v>4.0977628489240303E-2</v>
      </c>
    </row>
    <row r="45" spans="1:21" x14ac:dyDescent="0.25">
      <c r="A45" t="s">
        <v>57</v>
      </c>
      <c r="B45">
        <v>10</v>
      </c>
      <c r="C45">
        <v>160783</v>
      </c>
      <c r="D45">
        <v>3369.3</v>
      </c>
      <c r="E45">
        <v>3.4142510840247192E-2</v>
      </c>
      <c r="F45">
        <v>2.284804132129419E-3</v>
      </c>
      <c r="G45">
        <v>1.6421107595105129E-2</v>
      </c>
      <c r="H45">
        <v>6.0586863423672971E-5</v>
      </c>
      <c r="I45">
        <v>9.0725347985819464E-5</v>
      </c>
      <c r="J45">
        <v>3539623</v>
      </c>
      <c r="K45">
        <v>3847277</v>
      </c>
      <c r="L45">
        <v>3696143</v>
      </c>
      <c r="M45">
        <v>3625178</v>
      </c>
      <c r="N45">
        <v>3625178</v>
      </c>
      <c r="O45" s="11">
        <f t="shared" si="1"/>
        <v>4.3441555036445633E-4</v>
      </c>
      <c r="Q45" s="4">
        <f t="shared" ref="Q45" si="119">J45/$C$13</f>
        <v>0.18012326527018951</v>
      </c>
      <c r="R45" s="4">
        <f t="shared" ref="R45" si="120">K45/$C$13</f>
        <v>0.19577906902483649</v>
      </c>
      <c r="S45" s="4">
        <f t="shared" ref="S45" si="121">L45/$C$13</f>
        <v>0.18808820771747559</v>
      </c>
      <c r="T45" s="4">
        <f t="shared" ref="T45" si="122">M45/$C$13</f>
        <v>0.18447696224870699</v>
      </c>
      <c r="U45" s="4">
        <f t="shared" ref="U45" si="123">N45/$C$13</f>
        <v>0.18447696224870699</v>
      </c>
    </row>
    <row r="46" spans="1:21" x14ac:dyDescent="0.25">
      <c r="A46" t="s">
        <v>58</v>
      </c>
      <c r="B46">
        <v>28</v>
      </c>
      <c r="C46">
        <v>14147697</v>
      </c>
      <c r="D46">
        <v>180129.1</v>
      </c>
      <c r="E46">
        <v>9.5599030352692141E-2</v>
      </c>
      <c r="F46">
        <v>0.20104561157407799</v>
      </c>
      <c r="G46">
        <v>0.87790322384752073</v>
      </c>
      <c r="H46">
        <v>3.239087401041502E-3</v>
      </c>
      <c r="I46">
        <v>4.8503473362040989E-3</v>
      </c>
      <c r="J46">
        <v>16051185</v>
      </c>
      <c r="K46">
        <v>82636599</v>
      </c>
      <c r="L46">
        <v>74022037</v>
      </c>
      <c r="M46">
        <v>76360837</v>
      </c>
      <c r="N46">
        <v>76360837</v>
      </c>
      <c r="O46" s="11">
        <f t="shared" si="1"/>
        <v>7.7111997620491878E-3</v>
      </c>
      <c r="Q46" s="4">
        <f t="shared" ref="Q46" si="124">J46/$C$14</f>
        <v>5092.3810279187819</v>
      </c>
      <c r="R46" s="4">
        <f t="shared" ref="R46" si="125">K46/$C$14</f>
        <v>26217.195114213198</v>
      </c>
      <c r="S46" s="4">
        <f t="shared" ref="S46" si="126">L46/$C$14</f>
        <v>23484.148794416244</v>
      </c>
      <c r="T46" s="4">
        <f t="shared" ref="T46" si="127">M46/$C$14</f>
        <v>24226.153870558377</v>
      </c>
      <c r="U46" s="4">
        <f t="shared" ref="U46" si="128">N46/$C$14</f>
        <v>24226.153870558377</v>
      </c>
    </row>
    <row r="47" spans="1:21" x14ac:dyDescent="0.25">
      <c r="A47" t="s">
        <v>59</v>
      </c>
      <c r="B47">
        <v>1</v>
      </c>
      <c r="C47">
        <v>6915</v>
      </c>
      <c r="D47">
        <v>0</v>
      </c>
      <c r="E47">
        <v>3.4142510840247191E-3</v>
      </c>
      <c r="F47">
        <v>9.8265491834801776E-5</v>
      </c>
      <c r="G47">
        <v>0</v>
      </c>
      <c r="H47">
        <v>0</v>
      </c>
      <c r="I47">
        <v>0</v>
      </c>
      <c r="O47" s="11">
        <f t="shared" si="1"/>
        <v>0</v>
      </c>
      <c r="Q47" s="4">
        <f t="shared" ref="Q47" si="129">J47/$C$15</f>
        <v>0</v>
      </c>
      <c r="R47" s="4">
        <f t="shared" ref="R47" si="130">K47/$C$15</f>
        <v>0</v>
      </c>
      <c r="S47" s="4">
        <f t="shared" ref="S47" si="131">L47/$C$15</f>
        <v>0</v>
      </c>
      <c r="T47" s="4">
        <f t="shared" ref="T47" si="132">M47/$C$15</f>
        <v>0</v>
      </c>
      <c r="U47" s="4">
        <f t="shared" ref="U47" si="133">N47/$C$15</f>
        <v>0</v>
      </c>
    </row>
    <row r="48" spans="1:21" x14ac:dyDescent="0.25">
      <c r="A48" t="s">
        <v>60</v>
      </c>
      <c r="B48">
        <v>56</v>
      </c>
      <c r="C48">
        <v>5427841</v>
      </c>
      <c r="D48">
        <v>95734.9</v>
      </c>
      <c r="E48">
        <v>0.19119806070538431</v>
      </c>
      <c r="F48">
        <v>7.7132243740578782E-2</v>
      </c>
      <c r="G48">
        <v>0.46658744947218422</v>
      </c>
      <c r="H48">
        <v>1.721508120731009E-3</v>
      </c>
      <c r="I48">
        <v>2.5778595307297141E-3</v>
      </c>
      <c r="J48">
        <v>8186916</v>
      </c>
      <c r="K48">
        <v>12332485</v>
      </c>
      <c r="L48">
        <v>9803801</v>
      </c>
      <c r="M48">
        <v>10376295</v>
      </c>
      <c r="N48">
        <v>10376295</v>
      </c>
      <c r="O48" s="11">
        <f t="shared" si="1"/>
        <v>1.2102566628250711E-3</v>
      </c>
    </row>
    <row r="49" spans="1:21" x14ac:dyDescent="0.25">
      <c r="A49" t="s">
        <v>61</v>
      </c>
      <c r="B49">
        <v>9</v>
      </c>
      <c r="C49">
        <v>53637</v>
      </c>
      <c r="D49">
        <v>435.1</v>
      </c>
      <c r="E49">
        <v>3.0728259756222471E-2</v>
      </c>
      <c r="F49">
        <v>7.6220769132946675E-4</v>
      </c>
      <c r="G49">
        <v>2.1205662643962371E-3</v>
      </c>
      <c r="H49">
        <v>7.8239825113940894E-6</v>
      </c>
      <c r="I49">
        <v>1.17159644165346E-5</v>
      </c>
      <c r="O49" s="11">
        <f t="shared" si="1"/>
        <v>0</v>
      </c>
      <c r="Q49" s="4">
        <f t="shared" ref="Q49" si="134">SUM(J34:J47)/SUM($C$2:$C$15)</f>
        <v>14.734931407991635</v>
      </c>
      <c r="R49" s="4">
        <f t="shared" ref="R49" si="135">SUM(K34:K47)/SUM($C$2:$C$15)</f>
        <v>17.844250387884728</v>
      </c>
      <c r="S49" s="4">
        <f t="shared" ref="S49" si="136">SUM(L34:L47)/SUM($C$2:$C$15)</f>
        <v>17.835444092282749</v>
      </c>
      <c r="T49" s="4">
        <f t="shared" ref="T49" si="137">SUM(M34:M47)/SUM($C$2:$C$15)</f>
        <v>19.660828840592032</v>
      </c>
      <c r="U49" s="4">
        <f t="shared" ref="U49" si="138">SUM(N34:N47)/SUM($C$2:$C$15)</f>
        <v>19.660828840592032</v>
      </c>
    </row>
    <row r="50" spans="1:21" x14ac:dyDescent="0.25">
      <c r="A50" t="s">
        <v>62</v>
      </c>
      <c r="B50">
        <v>22</v>
      </c>
      <c r="C50">
        <v>3371010</v>
      </c>
      <c r="D50">
        <v>22477.5</v>
      </c>
      <c r="E50">
        <v>7.511352384854382E-2</v>
      </c>
      <c r="F50">
        <v>4.790368121909401E-2</v>
      </c>
      <c r="G50">
        <v>0.1095495936749401</v>
      </c>
      <c r="H50">
        <v>4.0419114433431548E-4</v>
      </c>
      <c r="I50">
        <v>6.052530226905461E-4</v>
      </c>
      <c r="J50">
        <v>2756959</v>
      </c>
      <c r="K50">
        <v>4342449</v>
      </c>
      <c r="L50">
        <v>4626738</v>
      </c>
      <c r="M50">
        <v>6545503</v>
      </c>
      <c r="N50">
        <v>6545503</v>
      </c>
      <c r="O50" s="11">
        <f t="shared" si="1"/>
        <v>5.8805007977835255E-4</v>
      </c>
      <c r="Q50" s="4">
        <f t="shared" ref="Q50" si="139">J50/$C$2</f>
        <v>3.9609886383881108</v>
      </c>
      <c r="R50" s="4">
        <f t="shared" ref="R50" si="140">K50/$C$2</f>
        <v>6.2388998718442359</v>
      </c>
      <c r="S50" s="4">
        <f t="shared" ref="S50" si="141">L50/$C$2</f>
        <v>6.6473446470544291</v>
      </c>
      <c r="T50" s="4">
        <f t="shared" ref="T50" si="142">M50/$C$2</f>
        <v>9.4040800082755283</v>
      </c>
      <c r="U50" s="4">
        <f t="shared" ref="U50" si="143">N50/$C$2</f>
        <v>9.4040800082755283</v>
      </c>
    </row>
    <row r="51" spans="1:21" x14ac:dyDescent="0.25">
      <c r="A51" t="s">
        <v>63</v>
      </c>
      <c r="B51">
        <v>165</v>
      </c>
      <c r="C51">
        <v>17559099</v>
      </c>
      <c r="D51">
        <v>25559</v>
      </c>
      <c r="E51">
        <v>0.56335142886407863</v>
      </c>
      <c r="F51">
        <v>0.24952328263354681</v>
      </c>
      <c r="G51">
        <v>0.1245680375814834</v>
      </c>
      <c r="H51">
        <v>4.596027786916147E-4</v>
      </c>
      <c r="I51">
        <v>6.8822876240452302E-4</v>
      </c>
      <c r="J51">
        <v>15534545</v>
      </c>
      <c r="K51">
        <v>19162130</v>
      </c>
      <c r="L51">
        <v>15093545</v>
      </c>
      <c r="M51">
        <v>12943370</v>
      </c>
      <c r="N51">
        <v>12943370</v>
      </c>
      <c r="O51" s="11">
        <f t="shared" si="1"/>
        <v>1.7931889350310298E-3</v>
      </c>
      <c r="Q51" s="4">
        <f t="shared" ref="Q51" si="144">J51/$C$3</f>
        <v>7.2112056179884814</v>
      </c>
      <c r="R51" s="4">
        <f t="shared" ref="R51" si="145">K51/$C$3</f>
        <v>8.8951468812653101</v>
      </c>
      <c r="S51" s="4">
        <f t="shared" ref="S51" si="146">L51/$C$3</f>
        <v>7.0064914356591679</v>
      </c>
      <c r="T51" s="4">
        <f t="shared" ref="T51" si="147">M51/$C$3</f>
        <v>6.008370535455243</v>
      </c>
      <c r="U51" s="4">
        <f t="shared" ref="U51" si="148">N51/$C$3</f>
        <v>6.008370535455243</v>
      </c>
    </row>
    <row r="52" spans="1:21" x14ac:dyDescent="0.25">
      <c r="A52" t="s">
        <v>64</v>
      </c>
      <c r="B52">
        <v>73</v>
      </c>
      <c r="C52">
        <v>7251067</v>
      </c>
      <c r="D52">
        <v>41012.6</v>
      </c>
      <c r="E52">
        <v>0.24924032913380451</v>
      </c>
      <c r="F52">
        <v>0.10304116631700661</v>
      </c>
      <c r="G52">
        <v>0.19988493673908789</v>
      </c>
      <c r="H52">
        <v>7.3748992219444095E-4</v>
      </c>
      <c r="I52">
        <v>1.104348798505096E-3</v>
      </c>
      <c r="J52">
        <v>5588809</v>
      </c>
      <c r="K52">
        <v>20625991</v>
      </c>
      <c r="L52">
        <v>22824260</v>
      </c>
      <c r="M52">
        <v>29996364</v>
      </c>
      <c r="N52">
        <v>29996364</v>
      </c>
      <c r="O52" s="11">
        <f t="shared" si="1"/>
        <v>2.5835418839267464E-3</v>
      </c>
      <c r="Q52" s="4">
        <f t="shared" ref="Q52" si="149">J52/$C$4</f>
        <v>28.601449312446587</v>
      </c>
      <c r="R52" s="4">
        <f t="shared" ref="R52" si="150">K52/$C$4</f>
        <v>105.5561634161195</v>
      </c>
      <c r="S52" s="4">
        <f t="shared" ref="S52" si="151">L52/$C$4</f>
        <v>116.80608793109624</v>
      </c>
      <c r="T52" s="4">
        <f t="shared" ref="T52" si="152">M52/$C$4</f>
        <v>153.51025316909158</v>
      </c>
      <c r="U52" s="4">
        <f t="shared" ref="U52" si="153">N52/$C$4</f>
        <v>153.51025316909158</v>
      </c>
    </row>
    <row r="53" spans="1:21" x14ac:dyDescent="0.25">
      <c r="A53" t="s">
        <v>65</v>
      </c>
      <c r="B53">
        <v>3</v>
      </c>
      <c r="C53">
        <v>40873</v>
      </c>
      <c r="D53">
        <v>296.5</v>
      </c>
      <c r="E53">
        <v>1.024275325207416E-2</v>
      </c>
      <c r="F53">
        <v>5.8082508282919054E-4</v>
      </c>
      <c r="G53">
        <v>1.4450652663605709E-3</v>
      </c>
      <c r="H53">
        <v>5.3316727525358487E-6</v>
      </c>
      <c r="I53">
        <v>7.983873706050357E-6</v>
      </c>
      <c r="J53">
        <v>284247</v>
      </c>
      <c r="K53">
        <v>162723</v>
      </c>
      <c r="L53">
        <v>139606</v>
      </c>
      <c r="M53">
        <v>137746</v>
      </c>
      <c r="N53">
        <v>137746</v>
      </c>
      <c r="O53" s="11">
        <f t="shared" si="1"/>
        <v>2.0426967452766733E-5</v>
      </c>
      <c r="Q53" s="4">
        <f t="shared" ref="Q53" si="154">J53/$C$5</f>
        <v>0.17600324456195318</v>
      </c>
      <c r="R53" s="4">
        <f t="shared" ref="R53" si="155">K53/$C$5</f>
        <v>0.10075665166159962</v>
      </c>
      <c r="S53" s="4">
        <f t="shared" ref="S53" si="156">L53/$C$5</f>
        <v>8.6442808403663141E-2</v>
      </c>
      <c r="T53" s="4">
        <f t="shared" ref="T53" si="157">M53/$C$5</f>
        <v>8.5291112748527867E-2</v>
      </c>
      <c r="U53" s="4">
        <f t="shared" ref="U53" si="158">N53/$C$5</f>
        <v>8.5291112748527867E-2</v>
      </c>
    </row>
    <row r="54" spans="1:21" x14ac:dyDescent="0.25">
      <c r="A54" t="s">
        <v>66</v>
      </c>
      <c r="B54">
        <v>148</v>
      </c>
      <c r="C54">
        <v>4123511</v>
      </c>
      <c r="D54">
        <v>14840.3</v>
      </c>
      <c r="E54">
        <v>0.50530916043565843</v>
      </c>
      <c r="F54">
        <v>5.8597084092728173E-2</v>
      </c>
      <c r="G54">
        <v>7.2327831610019488E-2</v>
      </c>
      <c r="H54">
        <v>2.66858762730043E-4</v>
      </c>
      <c r="I54">
        <v>3.9960566934198693E-4</v>
      </c>
      <c r="O54" s="11">
        <f t="shared" si="1"/>
        <v>0</v>
      </c>
      <c r="Q54" s="4">
        <f t="shared" ref="Q54" si="159">J54/$C$6</f>
        <v>0</v>
      </c>
      <c r="R54" s="4">
        <f t="shared" ref="R54" si="160">K54/$C$6</f>
        <v>0</v>
      </c>
      <c r="S54" s="4">
        <f t="shared" ref="S54" si="161">L54/$C$6</f>
        <v>0</v>
      </c>
      <c r="T54" s="4">
        <f t="shared" ref="T54" si="162">M54/$C$6</f>
        <v>0</v>
      </c>
      <c r="U54" s="4">
        <f t="shared" ref="U54" si="163">N54/$C$6</f>
        <v>0</v>
      </c>
    </row>
    <row r="55" spans="1:21" x14ac:dyDescent="0.25">
      <c r="A55" t="s">
        <v>67</v>
      </c>
      <c r="B55">
        <v>31</v>
      </c>
      <c r="C55">
        <v>1979383</v>
      </c>
      <c r="D55">
        <v>9648.6</v>
      </c>
      <c r="E55">
        <v>0.1058417836047663</v>
      </c>
      <c r="F55">
        <v>2.8127989012934989E-2</v>
      </c>
      <c r="G55">
        <v>4.7024811902214518E-2</v>
      </c>
      <c r="H55">
        <v>1.7350144256363369E-4</v>
      </c>
      <c r="I55">
        <v>2.5980844465496621E-4</v>
      </c>
      <c r="J55">
        <v>677305</v>
      </c>
      <c r="K55">
        <v>1565770</v>
      </c>
      <c r="L55">
        <v>1119565</v>
      </c>
      <c r="M55">
        <v>1186542</v>
      </c>
      <c r="N55">
        <v>1186542</v>
      </c>
      <c r="O55" s="11">
        <f t="shared" si="1"/>
        <v>1.3590975127954292E-4</v>
      </c>
      <c r="Q55" s="4">
        <f t="shared" ref="Q55" si="164">J55/$C$7</f>
        <v>23.848767605633803</v>
      </c>
      <c r="R55" s="4">
        <f t="shared" ref="R55" si="165">K55/$C$7</f>
        <v>55.132746478873237</v>
      </c>
      <c r="S55" s="4">
        <f t="shared" ref="S55" si="166">L55/$C$7</f>
        <v>39.421302816901409</v>
      </c>
      <c r="T55" s="4">
        <f t="shared" ref="T55" si="167">M55/$C$7</f>
        <v>41.779647887323947</v>
      </c>
      <c r="U55" s="4">
        <f t="shared" ref="U55" si="168">N55/$C$7</f>
        <v>41.779647887323947</v>
      </c>
    </row>
    <row r="56" spans="1:21" x14ac:dyDescent="0.25">
      <c r="A56" t="s">
        <v>68</v>
      </c>
      <c r="B56">
        <v>143</v>
      </c>
      <c r="C56">
        <v>10179056</v>
      </c>
      <c r="D56">
        <v>89258.5</v>
      </c>
      <c r="E56">
        <v>0.48823790501553488</v>
      </c>
      <c r="F56">
        <v>0.1446493050258843</v>
      </c>
      <c r="G56">
        <v>0.43502313010942673</v>
      </c>
      <c r="H56">
        <v>1.605049282907997E-3</v>
      </c>
      <c r="I56">
        <v>2.403469110257996E-3</v>
      </c>
      <c r="J56">
        <v>72388904</v>
      </c>
      <c r="K56">
        <v>71009983</v>
      </c>
      <c r="L56">
        <v>68381935</v>
      </c>
      <c r="M56">
        <v>69439069</v>
      </c>
      <c r="N56">
        <v>69439069</v>
      </c>
      <c r="O56" s="11">
        <f t="shared" si="1"/>
        <v>8.3089723350606107E-3</v>
      </c>
      <c r="Q56" s="4">
        <f t="shared" ref="Q56" si="169">J56/$C$8</f>
        <v>228.44408258067773</v>
      </c>
      <c r="R56" s="4">
        <f t="shared" ref="R56" si="170">K56/$C$8</f>
        <v>224.09249932150544</v>
      </c>
      <c r="S56" s="4">
        <f t="shared" ref="S56" si="171">L56/$C$8</f>
        <v>215.79893523690507</v>
      </c>
      <c r="T56" s="4">
        <f t="shared" ref="T56" si="172">M56/$C$8</f>
        <v>219.13502672952998</v>
      </c>
      <c r="U56" s="4">
        <f t="shared" ref="U56" si="173">N56/$C$8</f>
        <v>219.13502672952998</v>
      </c>
    </row>
    <row r="57" spans="1:21" x14ac:dyDescent="0.25">
      <c r="A57" t="s">
        <v>69</v>
      </c>
      <c r="B57">
        <v>227</v>
      </c>
      <c r="C57">
        <v>19323053</v>
      </c>
      <c r="D57">
        <v>154497.5</v>
      </c>
      <c r="E57">
        <v>0.77503499607361126</v>
      </c>
      <c r="F57">
        <v>0.27458992144540012</v>
      </c>
      <c r="G57">
        <v>0.75298135240992348</v>
      </c>
      <c r="H57">
        <v>2.778179126761913E-3</v>
      </c>
      <c r="I57">
        <v>4.1601636691417044E-3</v>
      </c>
      <c r="J57">
        <v>115991716</v>
      </c>
      <c r="K57">
        <v>138653817</v>
      </c>
      <c r="L57">
        <v>147933920</v>
      </c>
      <c r="M57">
        <v>156489994</v>
      </c>
      <c r="N57">
        <v>156489994</v>
      </c>
      <c r="O57" s="11">
        <f t="shared" si="1"/>
        <v>1.6955401907769407E-2</v>
      </c>
      <c r="Q57" s="4">
        <f t="shared" ref="Q57" si="174">J57/$C$9</f>
        <v>1.4143024181811514</v>
      </c>
      <c r="R57" s="4">
        <f t="shared" ref="R57" si="175">K57/$C$9</f>
        <v>1.6906244293613764</v>
      </c>
      <c r="S57" s="4">
        <f t="shared" ref="S57" si="176">L57/$C$9</f>
        <v>1.8037779593416567</v>
      </c>
      <c r="T57" s="4">
        <f t="shared" ref="T57" si="177">M57/$C$9</f>
        <v>1.9081033074409717</v>
      </c>
      <c r="U57" s="4">
        <f t="shared" ref="U57" si="178">N57/$C$9</f>
        <v>1.9081033074409717</v>
      </c>
    </row>
    <row r="58" spans="1:21" x14ac:dyDescent="0.25">
      <c r="A58" t="s">
        <v>70</v>
      </c>
      <c r="B58">
        <v>131</v>
      </c>
      <c r="C58">
        <v>11823747</v>
      </c>
      <c r="D58">
        <v>87848.3</v>
      </c>
      <c r="E58">
        <v>0.44726689200723818</v>
      </c>
      <c r="F58">
        <v>0.16802115897111519</v>
      </c>
      <c r="G58">
        <v>0.42815017551036538</v>
      </c>
      <c r="H58">
        <v>1.5796910201234229E-3</v>
      </c>
      <c r="I58">
        <v>2.3654965682671958E-3</v>
      </c>
      <c r="J58">
        <v>7942596</v>
      </c>
      <c r="K58">
        <v>28022541</v>
      </c>
      <c r="L58">
        <v>27760177</v>
      </c>
      <c r="M58">
        <v>40097920</v>
      </c>
      <c r="N58">
        <v>40097920</v>
      </c>
      <c r="O58" s="11">
        <f t="shared" si="1"/>
        <v>3.4102561845731757E-3</v>
      </c>
      <c r="Q58" s="4">
        <f t="shared" ref="Q58" si="179">J58/$C$10</f>
        <v>250.71325757575758</v>
      </c>
      <c r="R58" s="4">
        <f t="shared" ref="R58" si="180">K58/$C$10</f>
        <v>884.5499053030303</v>
      </c>
      <c r="S58" s="4">
        <f t="shared" ref="S58" si="181">L58/$C$10</f>
        <v>876.26821338383843</v>
      </c>
      <c r="T58" s="4">
        <f t="shared" ref="T58" si="182">M58/$C$10</f>
        <v>1265.7171717171718</v>
      </c>
      <c r="U58" s="4">
        <f t="shared" ref="U58" si="183">N58/$C$10</f>
        <v>1265.7171717171718</v>
      </c>
    </row>
    <row r="59" spans="1:21" x14ac:dyDescent="0.25">
      <c r="A59" t="s">
        <v>71</v>
      </c>
      <c r="B59">
        <v>5</v>
      </c>
      <c r="C59">
        <v>110629</v>
      </c>
      <c r="D59">
        <v>1547.8</v>
      </c>
      <c r="E59">
        <v>1.70712554201236E-2</v>
      </c>
      <c r="F59">
        <v>1.572091554040822E-3</v>
      </c>
      <c r="G59">
        <v>7.5435818525223996E-3</v>
      </c>
      <c r="H59">
        <v>2.7832590510539579E-5</v>
      </c>
      <c r="I59">
        <v>4.1677705639881088E-5</v>
      </c>
      <c r="J59">
        <v>1151314</v>
      </c>
      <c r="K59">
        <v>789084</v>
      </c>
      <c r="L59">
        <v>511033</v>
      </c>
      <c r="M59">
        <v>377983</v>
      </c>
      <c r="N59">
        <v>377983</v>
      </c>
      <c r="O59" s="11">
        <f t="shared" si="1"/>
        <v>7.6000262307731706E-5</v>
      </c>
      <c r="Q59" s="6">
        <f t="shared" ref="Q59" si="184">J59/$C$11</f>
        <v>0.61823450096415056</v>
      </c>
      <c r="R59" s="6">
        <f t="shared" ref="R59" si="185">K59/$C$11</f>
        <v>0.4237236348718037</v>
      </c>
      <c r="S59" s="6">
        <f t="shared" ref="S59" si="186">L59/$C$11</f>
        <v>0.27441534779496535</v>
      </c>
      <c r="T59" s="6">
        <f t="shared" ref="T59" si="187">M59/$C$11</f>
        <v>0.2029699381558224</v>
      </c>
      <c r="U59" s="6">
        <f t="shared" ref="U59" si="188">N59/$C$11</f>
        <v>0.2029699381558224</v>
      </c>
    </row>
    <row r="60" spans="1:21" x14ac:dyDescent="0.25">
      <c r="A60" t="s">
        <v>72</v>
      </c>
      <c r="B60">
        <v>305</v>
      </c>
      <c r="C60">
        <v>25829672</v>
      </c>
      <c r="D60">
        <v>127920.3</v>
      </c>
      <c r="E60">
        <v>1.041346580627539</v>
      </c>
      <c r="F60">
        <v>0.36705212191057229</v>
      </c>
      <c r="G60">
        <v>0.62345086810261097</v>
      </c>
      <c r="H60">
        <v>2.300267042179466E-3</v>
      </c>
      <c r="I60">
        <v>3.444517772816437E-3</v>
      </c>
      <c r="J60">
        <v>22429059</v>
      </c>
      <c r="K60">
        <v>38349807</v>
      </c>
      <c r="L60">
        <v>32421997</v>
      </c>
      <c r="M60">
        <v>42215429</v>
      </c>
      <c r="N60">
        <v>42215429</v>
      </c>
      <c r="O60" s="11">
        <f t="shared" si="1"/>
        <v>4.2090384789203877E-3</v>
      </c>
      <c r="Q60" s="4">
        <f t="shared" ref="Q60" si="189">J60/$C$12</f>
        <v>1.270232803174929</v>
      </c>
      <c r="R60" s="4">
        <f t="shared" ref="R60" si="190">K60/$C$12</f>
        <v>2.1718781357179324</v>
      </c>
      <c r="S60" s="4">
        <f t="shared" ref="S60" si="191">L60/$C$12</f>
        <v>1.8361663828089774</v>
      </c>
      <c r="T60" s="4">
        <f t="shared" ref="T60" si="192">M60/$C$12</f>
        <v>2.3908012688317504</v>
      </c>
      <c r="U60" s="4">
        <f t="shared" ref="U60" si="193">N60/$C$12</f>
        <v>2.3908012688317504</v>
      </c>
    </row>
    <row r="61" spans="1:21" x14ac:dyDescent="0.25">
      <c r="A61" t="s">
        <v>73</v>
      </c>
      <c r="B61">
        <v>257</v>
      </c>
      <c r="C61">
        <v>24664021</v>
      </c>
      <c r="D61">
        <v>39139.9</v>
      </c>
      <c r="E61">
        <v>0.87746252859435292</v>
      </c>
      <c r="F61">
        <v>0.35048765787257841</v>
      </c>
      <c r="G61">
        <v>0.19075787527428709</v>
      </c>
      <c r="H61">
        <v>7.0381496919722723E-4</v>
      </c>
      <c r="I61">
        <v>1.053922490615313E-3</v>
      </c>
      <c r="J61">
        <v>6532918</v>
      </c>
      <c r="K61">
        <v>3128433</v>
      </c>
      <c r="L61">
        <v>16756425</v>
      </c>
      <c r="M61">
        <v>18811402</v>
      </c>
      <c r="N61">
        <v>18811402</v>
      </c>
      <c r="O61" s="11">
        <f t="shared" si="1"/>
        <v>1.5174613178035887E-3</v>
      </c>
      <c r="Q61" s="4">
        <f t="shared" ref="Q61" si="194">J61/$C$13</f>
        <v>0.33244515641987743</v>
      </c>
      <c r="R61" s="4">
        <f t="shared" ref="R61" si="195">K61/$C$13</f>
        <v>0.15919875284430426</v>
      </c>
      <c r="S61" s="4">
        <f t="shared" ref="S61" si="196">L61/$C$13</f>
        <v>0.85269589028408821</v>
      </c>
      <c r="T61" s="4">
        <f t="shared" ref="T61" si="197">M61/$C$13</f>
        <v>0.95726893868363194</v>
      </c>
      <c r="U61" s="4">
        <f t="shared" ref="U61" si="198">N61/$C$13</f>
        <v>0.95726893868363194</v>
      </c>
    </row>
    <row r="62" spans="1:21" x14ac:dyDescent="0.25">
      <c r="A62" t="s">
        <v>74</v>
      </c>
      <c r="B62">
        <v>137</v>
      </c>
      <c r="C62">
        <v>16409854</v>
      </c>
      <c r="D62">
        <v>122442.4</v>
      </c>
      <c r="E62">
        <v>0.4677523985113865</v>
      </c>
      <c r="F62">
        <v>0.23319195578413429</v>
      </c>
      <c r="G62">
        <v>0.59675298269756349</v>
      </c>
      <c r="H62">
        <v>2.2017632641993098E-3</v>
      </c>
      <c r="I62">
        <v>3.297014023155818E-3</v>
      </c>
      <c r="J62">
        <v>18364964</v>
      </c>
      <c r="K62">
        <v>43492948</v>
      </c>
      <c r="L62">
        <v>43930818</v>
      </c>
      <c r="M62">
        <v>50620103</v>
      </c>
      <c r="N62">
        <v>50620103</v>
      </c>
      <c r="O62" s="11">
        <f t="shared" si="1"/>
        <v>4.905614565733709E-3</v>
      </c>
      <c r="Q62" s="4">
        <f t="shared" ref="Q62" si="199">J62/$C$14</f>
        <v>5826.4479695431473</v>
      </c>
      <c r="R62" s="4">
        <f t="shared" ref="R62" si="200">K62/$C$14</f>
        <v>13798.524111675128</v>
      </c>
      <c r="S62" s="4">
        <f t="shared" ref="S62" si="201">L62/$C$14</f>
        <v>13937.442258883249</v>
      </c>
      <c r="T62" s="4">
        <f t="shared" ref="T62" si="202">M62/$C$14</f>
        <v>16059.677347715737</v>
      </c>
      <c r="U62" s="4">
        <f t="shared" ref="U62" si="203">N62/$C$14</f>
        <v>16059.677347715737</v>
      </c>
    </row>
    <row r="63" spans="1:21" x14ac:dyDescent="0.25">
      <c r="A63" t="s">
        <v>75</v>
      </c>
      <c r="B63">
        <v>2</v>
      </c>
      <c r="C63">
        <v>58303</v>
      </c>
      <c r="D63">
        <v>575</v>
      </c>
      <c r="E63">
        <v>6.8285021680494383E-3</v>
      </c>
      <c r="F63">
        <v>8.2851380628263887E-4</v>
      </c>
      <c r="G63">
        <v>2.8024031303788481E-3</v>
      </c>
      <c r="H63">
        <v>1.033966891301219E-5</v>
      </c>
      <c r="I63">
        <v>1.548306030684302E-5</v>
      </c>
      <c r="O63" s="11">
        <f t="shared" si="1"/>
        <v>0</v>
      </c>
      <c r="Q63" s="4">
        <f t="shared" ref="Q63" si="204">J63/$C$15</f>
        <v>0</v>
      </c>
      <c r="R63" s="4">
        <f t="shared" ref="R63" si="205">K63/$C$15</f>
        <v>0</v>
      </c>
      <c r="S63" s="4">
        <f t="shared" ref="S63" si="206">L63/$C$15</f>
        <v>0</v>
      </c>
      <c r="T63" s="4">
        <f t="shared" ref="T63" si="207">M63/$C$15</f>
        <v>0</v>
      </c>
      <c r="U63" s="4">
        <f t="shared" ref="U63" si="208">N63/$C$15</f>
        <v>0</v>
      </c>
    </row>
    <row r="64" spans="1:21" x14ac:dyDescent="0.25">
      <c r="A64" t="s">
        <v>76</v>
      </c>
      <c r="B64">
        <v>54</v>
      </c>
      <c r="C64">
        <v>2563903</v>
      </c>
      <c r="D64">
        <v>11555.8</v>
      </c>
      <c r="E64">
        <v>0.1843695585373348</v>
      </c>
      <c r="F64">
        <v>3.643430069583857E-2</v>
      </c>
      <c r="G64">
        <v>5.6320017554838057E-2</v>
      </c>
      <c r="H64">
        <v>2.077967756956282E-4</v>
      </c>
      <c r="I64">
        <v>3.1116373616315917E-4</v>
      </c>
      <c r="J64">
        <v>713681</v>
      </c>
      <c r="K64">
        <v>3125490</v>
      </c>
      <c r="L64">
        <v>2991419</v>
      </c>
      <c r="M64">
        <v>3448502</v>
      </c>
      <c r="N64">
        <v>3448502</v>
      </c>
      <c r="O64" s="11">
        <f t="shared" si="1"/>
        <v>3.2527957869077134E-4</v>
      </c>
    </row>
    <row r="65" spans="1:21" x14ac:dyDescent="0.25">
      <c r="A65" t="s">
        <v>77</v>
      </c>
      <c r="B65">
        <v>5</v>
      </c>
      <c r="C65">
        <v>1669443</v>
      </c>
      <c r="D65">
        <v>6811.8</v>
      </c>
      <c r="E65">
        <v>1.70712554201236E-2</v>
      </c>
      <c r="F65">
        <v>2.372359182721142E-2</v>
      </c>
      <c r="G65">
        <v>3.319897329306893E-2</v>
      </c>
      <c r="H65">
        <v>1.2249001165505461E-4</v>
      </c>
      <c r="I65">
        <v>1.8342175686635349E-4</v>
      </c>
      <c r="O65" s="11">
        <f t="shared" si="1"/>
        <v>0</v>
      </c>
      <c r="Q65" s="4">
        <f t="shared" ref="Q65" si="209">SUM(J50:J63)/SUM($C$2:$C$15)</f>
        <v>1.8374117966878711</v>
      </c>
      <c r="R65" s="4">
        <f t="shared" ref="R65" si="210">SUM(K50:K63)/SUM($C$2:$C$15)</f>
        <v>2.5165339360220229</v>
      </c>
      <c r="S65" s="4">
        <f t="shared" ref="S65" si="211">SUM(L50:L63)/SUM($C$2:$C$15)</f>
        <v>2.5996289978671938</v>
      </c>
      <c r="T65" s="4">
        <f t="shared" ref="T65" si="212">SUM(M50:M63)/SUM($C$2:$C$15)</f>
        <v>2.9223605267937001</v>
      </c>
      <c r="U65" s="4">
        <f t="shared" ref="U65" si="213">SUM(N50:N63)/SUM($C$2:$C$15)</f>
        <v>2.9223605267937001</v>
      </c>
    </row>
    <row r="66" spans="1:21" x14ac:dyDescent="0.25">
      <c r="A66" t="s">
        <v>78</v>
      </c>
      <c r="B66">
        <v>93</v>
      </c>
      <c r="C66">
        <v>7672309</v>
      </c>
      <c r="D66">
        <v>49433.5</v>
      </c>
      <c r="E66">
        <v>0.31752535081429889</v>
      </c>
      <c r="F66">
        <v>0.1090272187120139</v>
      </c>
      <c r="G66">
        <v>0.24092625242710039</v>
      </c>
      <c r="H66">
        <v>8.8891482297632672E-4</v>
      </c>
      <c r="I66">
        <v>1.331098889875347E-3</v>
      </c>
      <c r="J66">
        <v>6300751</v>
      </c>
      <c r="K66">
        <v>26468913</v>
      </c>
      <c r="L66">
        <v>21287081</v>
      </c>
      <c r="M66">
        <v>19593879</v>
      </c>
      <c r="N66">
        <v>19593879</v>
      </c>
      <c r="O66" s="11">
        <f t="shared" si="1"/>
        <v>2.2094572909914412E-3</v>
      </c>
      <c r="Q66" s="4">
        <f t="shared" ref="Q66" si="214">J66/$C$2</f>
        <v>9.0524389823397904</v>
      </c>
      <c r="R66" s="4">
        <f t="shared" ref="R66" si="215">K66/$C$2</f>
        <v>38.028517530903926</v>
      </c>
      <c r="S66" s="4">
        <f t="shared" ref="S66" si="216">L66/$C$2</f>
        <v>30.583656117282636</v>
      </c>
      <c r="T66" s="4">
        <f t="shared" ref="T66" si="217">M66/$C$2</f>
        <v>28.150992488807923</v>
      </c>
      <c r="U66" s="4">
        <f t="shared" ref="U66" si="218">N66/$C$2</f>
        <v>28.150992488807923</v>
      </c>
    </row>
    <row r="67" spans="1:21" x14ac:dyDescent="0.25">
      <c r="A67" t="s">
        <v>79</v>
      </c>
      <c r="B67">
        <v>100</v>
      </c>
      <c r="C67">
        <v>4991318.3</v>
      </c>
      <c r="D67">
        <v>78955.7</v>
      </c>
      <c r="E67">
        <v>0.34142510840247192</v>
      </c>
      <c r="F67">
        <v>7.0929045213817293E-2</v>
      </c>
      <c r="G67">
        <v>0.38480991450652718</v>
      </c>
      <c r="H67">
        <v>1.4197839944262889E-3</v>
      </c>
      <c r="I67">
        <v>2.1260449820330531E-3</v>
      </c>
      <c r="J67">
        <v>10094104</v>
      </c>
      <c r="K67">
        <v>23086926</v>
      </c>
      <c r="L67">
        <v>19113916</v>
      </c>
      <c r="M67">
        <v>20378923</v>
      </c>
      <c r="N67">
        <v>20378923</v>
      </c>
      <c r="O67" s="11">
        <f t="shared" ref="O67:O73" si="219">SUM(J67:N67)/SUM($J$2:$N$73)</f>
        <v>2.2049146396491606E-3</v>
      </c>
      <c r="Q67" s="4">
        <f t="shared" ref="Q67" si="220">J67/$C$3</f>
        <v>4.6857284505828787</v>
      </c>
      <c r="R67" s="4">
        <f t="shared" ref="R67" si="221">K67/$C$3</f>
        <v>10.71705482672871</v>
      </c>
      <c r="S67" s="4">
        <f t="shared" ref="S67" si="222">L67/$C$3</f>
        <v>8.8727657257396277</v>
      </c>
      <c r="T67" s="4">
        <f t="shared" ref="T67" si="223">M67/$C$3</f>
        <v>9.4599876614445204</v>
      </c>
      <c r="U67" s="4">
        <f t="shared" ref="U67" si="224">N67/$C$3</f>
        <v>9.4599876614445204</v>
      </c>
    </row>
    <row r="68" spans="1:21" x14ac:dyDescent="0.25">
      <c r="A68" t="s">
        <v>80</v>
      </c>
      <c r="B68">
        <v>9</v>
      </c>
      <c r="C68">
        <v>2662119</v>
      </c>
      <c r="D68">
        <v>3716.7</v>
      </c>
      <c r="E68">
        <v>3.0728259756222471E-2</v>
      </c>
      <c r="F68">
        <v>3.7829997521008053E-2</v>
      </c>
      <c r="G68">
        <v>1.8114246460311411E-2</v>
      </c>
      <c r="H68">
        <v>6.6833821650421558E-5</v>
      </c>
      <c r="I68">
        <v>1.00079809117293E-4</v>
      </c>
      <c r="J68">
        <v>2520445</v>
      </c>
      <c r="K68">
        <v>2318173</v>
      </c>
      <c r="L68">
        <v>1875083</v>
      </c>
      <c r="M68">
        <v>1664448</v>
      </c>
      <c r="N68">
        <v>1664448</v>
      </c>
      <c r="O68" s="11">
        <f t="shared" si="219"/>
        <v>2.3796243690782262E-4</v>
      </c>
      <c r="Q68" s="4">
        <f t="shared" ref="Q68" si="225">J68/$C$4</f>
        <v>12.898701657599934</v>
      </c>
      <c r="R68" s="4">
        <f t="shared" ref="R68" si="226">K68/$C$4</f>
        <v>11.863548666090081</v>
      </c>
      <c r="S68" s="4">
        <f t="shared" ref="S68" si="227">L68/$C$4</f>
        <v>9.5959785673710236</v>
      </c>
      <c r="T68" s="4">
        <f t="shared" ref="T68" si="228">M68/$C$4</f>
        <v>8.5180268470801366</v>
      </c>
      <c r="U68" s="4">
        <f t="shared" ref="U68" si="229">N68/$C$4</f>
        <v>8.5180268470801366</v>
      </c>
    </row>
    <row r="69" spans="1:21" x14ac:dyDescent="0.25">
      <c r="A69" t="s">
        <v>81</v>
      </c>
      <c r="B69">
        <v>67</v>
      </c>
      <c r="C69">
        <v>4428975</v>
      </c>
      <c r="D69">
        <v>53291.7</v>
      </c>
      <c r="E69">
        <v>0.22875482262965621</v>
      </c>
      <c r="F69">
        <v>6.2937875155320483E-2</v>
      </c>
      <c r="G69">
        <v>0.25973013374471382</v>
      </c>
      <c r="H69">
        <v>9.5829310228099382E-4</v>
      </c>
      <c r="I69">
        <v>1.434988878181193E-3</v>
      </c>
      <c r="J69">
        <v>22989117</v>
      </c>
      <c r="K69">
        <v>24627697</v>
      </c>
      <c r="L69">
        <v>22834241</v>
      </c>
      <c r="M69">
        <v>24079950</v>
      </c>
      <c r="N69">
        <v>24079950</v>
      </c>
      <c r="O69" s="11">
        <f t="shared" si="219"/>
        <v>2.8105232038848206E-3</v>
      </c>
      <c r="Q69" s="4">
        <f t="shared" ref="Q69" si="230">J69/$C$5</f>
        <v>14.234659228116234</v>
      </c>
      <c r="R69" s="4">
        <f t="shared" ref="R69" si="231">K69/$C$5</f>
        <v>15.249253564993406</v>
      </c>
      <c r="S69" s="4">
        <f t="shared" ref="S69" si="232">L69/$C$5</f>
        <v>14.138761369898639</v>
      </c>
      <c r="T69" s="4">
        <f t="shared" ref="T69" si="233">M69/$C$5</f>
        <v>14.910093435953957</v>
      </c>
      <c r="U69" s="4">
        <f t="shared" ref="U69" si="234">N69/$C$5</f>
        <v>14.910093435953957</v>
      </c>
    </row>
    <row r="70" spans="1:21" x14ac:dyDescent="0.25">
      <c r="A70" t="s">
        <v>82</v>
      </c>
      <c r="B70">
        <v>4</v>
      </c>
      <c r="C70">
        <v>153685</v>
      </c>
      <c r="D70">
        <v>2526.5</v>
      </c>
      <c r="E70">
        <v>1.365700433609888E-2</v>
      </c>
      <c r="F70">
        <v>2.1839381218556049E-3</v>
      </c>
      <c r="G70">
        <v>1.2313515667655929E-2</v>
      </c>
      <c r="H70">
        <v>4.5431606102130927E-5</v>
      </c>
      <c r="I70">
        <v>6.8031220635198072E-5</v>
      </c>
      <c r="O70" s="11">
        <f t="shared" si="219"/>
        <v>0</v>
      </c>
      <c r="Q70" s="4">
        <f t="shared" ref="Q70" si="235">J70/$C$6</f>
        <v>0</v>
      </c>
      <c r="R70" s="4">
        <f t="shared" ref="R70" si="236">K70/$C$6</f>
        <v>0</v>
      </c>
      <c r="S70" s="4">
        <f t="shared" ref="S70" si="237">L70/$C$6</f>
        <v>0</v>
      </c>
      <c r="T70" s="4">
        <f t="shared" ref="T70" si="238">M70/$C$6</f>
        <v>0</v>
      </c>
      <c r="U70" s="4">
        <f t="shared" ref="U70" si="239">N70/$C$6</f>
        <v>0</v>
      </c>
    </row>
    <row r="71" spans="1:21" x14ac:dyDescent="0.25">
      <c r="A71" t="s">
        <v>83</v>
      </c>
      <c r="B71">
        <v>7</v>
      </c>
      <c r="C71">
        <v>1085323</v>
      </c>
      <c r="D71">
        <v>9412.6</v>
      </c>
      <c r="E71">
        <v>2.3899757588173039E-2</v>
      </c>
      <c r="F71">
        <v>1.542296433761715E-2</v>
      </c>
      <c r="G71">
        <v>4.5874608182615552E-2</v>
      </c>
      <c r="H71">
        <v>1.6925768280107571E-4</v>
      </c>
      <c r="I71">
        <v>2.5345365816380969E-4</v>
      </c>
      <c r="J71">
        <v>5706771</v>
      </c>
      <c r="K71">
        <v>2463348</v>
      </c>
      <c r="L71">
        <v>2094470</v>
      </c>
      <c r="M71">
        <v>2378372</v>
      </c>
      <c r="N71">
        <v>2378372</v>
      </c>
      <c r="O71" s="11">
        <f t="shared" si="219"/>
        <v>3.5593512378161683E-4</v>
      </c>
      <c r="Q71" s="4">
        <f t="shared" ref="Q71" si="240">J71/$C$7</f>
        <v>200.94264084507043</v>
      </c>
      <c r="R71" s="4">
        <f t="shared" ref="R71" si="241">K71/$C$7</f>
        <v>86.737605633802815</v>
      </c>
      <c r="S71" s="4">
        <f t="shared" ref="S71" si="242">L71/$C$7</f>
        <v>73.748943661971836</v>
      </c>
      <c r="T71" s="4">
        <f t="shared" ref="T71" si="243">M71/$C$7</f>
        <v>83.745492957746478</v>
      </c>
      <c r="U71" s="4">
        <f t="shared" ref="U71" si="244">N71/$C$7</f>
        <v>83.745492957746478</v>
      </c>
    </row>
    <row r="72" spans="1:21" x14ac:dyDescent="0.25">
      <c r="A72" t="s">
        <v>84</v>
      </c>
      <c r="B72">
        <v>14</v>
      </c>
      <c r="C72">
        <v>10187529</v>
      </c>
      <c r="D72">
        <v>194507.2</v>
      </c>
      <c r="E72">
        <v>4.779951517634607E-2</v>
      </c>
      <c r="F72">
        <v>0.14476971045065889</v>
      </c>
      <c r="G72">
        <v>0.94797841071517319</v>
      </c>
      <c r="H72">
        <v>3.497634868168772E-3</v>
      </c>
      <c r="I72">
        <v>5.2375073177655246E-3</v>
      </c>
      <c r="O72" s="11">
        <f t="shared" si="219"/>
        <v>0</v>
      </c>
      <c r="Q72" s="4">
        <f t="shared" ref="Q72" si="245">J72/$C$8</f>
        <v>0</v>
      </c>
      <c r="R72" s="4">
        <f t="shared" ref="R72" si="246">K72/$C$8</f>
        <v>0</v>
      </c>
      <c r="S72" s="4">
        <f t="shared" ref="S72" si="247">L72/$C$8</f>
        <v>0</v>
      </c>
      <c r="T72" s="4">
        <f t="shared" ref="T72" si="248">M72/$C$8</f>
        <v>0</v>
      </c>
      <c r="U72" s="4">
        <f t="shared" ref="U72" si="249">N72/$C$8</f>
        <v>0</v>
      </c>
    </row>
    <row r="73" spans="1:21" x14ac:dyDescent="0.25">
      <c r="A73" t="s">
        <v>85</v>
      </c>
      <c r="B73">
        <v>12</v>
      </c>
      <c r="C73">
        <v>2556761</v>
      </c>
      <c r="D73">
        <v>8790.2000000000007</v>
      </c>
      <c r="E73">
        <v>4.0971013008296628E-2</v>
      </c>
      <c r="F73">
        <v>3.6332809424300741E-2</v>
      </c>
      <c r="G73">
        <v>4.2841189559401999E-2</v>
      </c>
      <c r="H73">
        <v>1.5806566552897339E-4</v>
      </c>
      <c r="I73">
        <v>2.3669425514645479E-4</v>
      </c>
      <c r="J73">
        <v>464564</v>
      </c>
      <c r="K73">
        <v>656557</v>
      </c>
      <c r="L73">
        <v>310737</v>
      </c>
      <c r="M73">
        <v>230614</v>
      </c>
      <c r="N73">
        <v>230614</v>
      </c>
      <c r="O73" s="11">
        <f t="shared" si="219"/>
        <v>4.4857257324582704E-5</v>
      </c>
      <c r="Q73" s="4">
        <f t="shared" ref="Q73" si="250">J73/$C$9</f>
        <v>5.6644906313818855E-3</v>
      </c>
      <c r="R73" s="4">
        <f t="shared" ref="R73" si="251">K73/$C$9</f>
        <v>8.0054868122975444E-3</v>
      </c>
      <c r="S73" s="4">
        <f t="shared" ref="S73" si="252">L73/$C$9</f>
        <v>3.7888575639173786E-3</v>
      </c>
      <c r="T73" s="4">
        <f t="shared" ref="T73" si="253">M73/$C$9</f>
        <v>2.8119071698743388E-3</v>
      </c>
      <c r="U73" s="4">
        <f t="shared" ref="U73" si="254">N73/$C$9</f>
        <v>2.8119071698743388E-3</v>
      </c>
    </row>
    <row r="75" spans="1:21" x14ac:dyDescent="0.25">
      <c r="J75" s="10">
        <v>4969958560</v>
      </c>
      <c r="K75" s="10">
        <v>37232487887</v>
      </c>
    </row>
    <row r="76" spans="1:21" x14ac:dyDescent="0.25">
      <c r="J76" s="10">
        <v>72786076</v>
      </c>
      <c r="K76" s="10">
        <v>2025164561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3"/>
  <sheetViews>
    <sheetView workbookViewId="0"/>
  </sheetViews>
  <sheetFormatPr defaultRowHeight="15" x14ac:dyDescent="0.25"/>
  <sheetData>
    <row r="1" spans="1:11" x14ac:dyDescent="0.25">
      <c r="A1" s="1" t="s">
        <v>0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95</v>
      </c>
    </row>
    <row r="2" spans="1:11" x14ac:dyDescent="0.25">
      <c r="A2" t="s">
        <v>14</v>
      </c>
      <c r="B2">
        <v>13</v>
      </c>
      <c r="C2">
        <v>35000</v>
      </c>
      <c r="D2">
        <v>44892</v>
      </c>
      <c r="E2">
        <v>74105</v>
      </c>
      <c r="F2">
        <v>9</v>
      </c>
      <c r="G2">
        <v>3</v>
      </c>
      <c r="H2">
        <v>1</v>
      </c>
      <c r="I2">
        <v>0</v>
      </c>
      <c r="J2">
        <v>0</v>
      </c>
      <c r="K2">
        <v>0</v>
      </c>
    </row>
    <row r="3" spans="1:11" x14ac:dyDescent="0.25">
      <c r="A3" t="s">
        <v>15</v>
      </c>
      <c r="B3">
        <v>10</v>
      </c>
      <c r="C3">
        <v>77543.25</v>
      </c>
      <c r="D3">
        <v>189001.5</v>
      </c>
      <c r="E3">
        <v>281985</v>
      </c>
      <c r="F3">
        <v>1</v>
      </c>
      <c r="G3">
        <v>2</v>
      </c>
      <c r="H3">
        <v>4</v>
      </c>
      <c r="I3">
        <v>2</v>
      </c>
      <c r="J3">
        <v>1</v>
      </c>
      <c r="K3">
        <v>0</v>
      </c>
    </row>
    <row r="4" spans="1:11" x14ac:dyDescent="0.25">
      <c r="A4" t="s">
        <v>16</v>
      </c>
      <c r="B4">
        <v>6</v>
      </c>
      <c r="C4">
        <v>2567.5</v>
      </c>
      <c r="D4">
        <v>12968.5</v>
      </c>
      <c r="E4">
        <v>48384.25</v>
      </c>
      <c r="F4">
        <v>4</v>
      </c>
      <c r="G4">
        <v>1</v>
      </c>
      <c r="H4">
        <v>1</v>
      </c>
      <c r="I4">
        <v>0</v>
      </c>
      <c r="J4">
        <v>0</v>
      </c>
      <c r="K4">
        <v>0</v>
      </c>
    </row>
    <row r="5" spans="1:11" x14ac:dyDescent="0.25">
      <c r="A5" t="s">
        <v>17</v>
      </c>
      <c r="B5">
        <v>24</v>
      </c>
      <c r="C5">
        <v>35222.5</v>
      </c>
      <c r="D5">
        <v>45722.5</v>
      </c>
      <c r="E5">
        <v>73095</v>
      </c>
      <c r="F5">
        <v>13</v>
      </c>
      <c r="G5">
        <v>7</v>
      </c>
      <c r="H5">
        <v>4</v>
      </c>
      <c r="I5">
        <v>0</v>
      </c>
      <c r="J5">
        <v>0</v>
      </c>
      <c r="K5">
        <v>0</v>
      </c>
    </row>
    <row r="6" spans="1:11" x14ac:dyDescent="0.25">
      <c r="A6" t="s">
        <v>18</v>
      </c>
      <c r="B6">
        <v>10</v>
      </c>
      <c r="C6">
        <v>29911.5</v>
      </c>
      <c r="D6">
        <v>32786</v>
      </c>
      <c r="E6">
        <v>35566.5</v>
      </c>
      <c r="F6">
        <v>10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5">
      <c r="A7" t="s">
        <v>19</v>
      </c>
      <c r="B7">
        <v>1</v>
      </c>
      <c r="C7">
        <v>28400</v>
      </c>
      <c r="D7">
        <v>28400</v>
      </c>
      <c r="E7">
        <v>28400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 t="s">
        <v>20</v>
      </c>
      <c r="B8">
        <v>7</v>
      </c>
      <c r="C8">
        <v>33311.5</v>
      </c>
      <c r="D8">
        <v>40146</v>
      </c>
      <c r="E8">
        <v>51856</v>
      </c>
      <c r="F8">
        <v>5</v>
      </c>
      <c r="G8">
        <v>2</v>
      </c>
      <c r="H8">
        <v>0</v>
      </c>
      <c r="I8">
        <v>0</v>
      </c>
      <c r="J8">
        <v>0</v>
      </c>
      <c r="K8">
        <v>0</v>
      </c>
    </row>
    <row r="9" spans="1:11" x14ac:dyDescent="0.25">
      <c r="A9" t="s">
        <v>21</v>
      </c>
      <c r="B9">
        <v>481</v>
      </c>
      <c r="C9">
        <v>32292</v>
      </c>
      <c r="D9">
        <v>72924</v>
      </c>
      <c r="E9">
        <v>155915</v>
      </c>
      <c r="F9">
        <v>191</v>
      </c>
      <c r="G9">
        <v>93</v>
      </c>
      <c r="H9">
        <v>130</v>
      </c>
      <c r="I9">
        <v>34</v>
      </c>
      <c r="J9">
        <v>21</v>
      </c>
      <c r="K9">
        <v>12</v>
      </c>
    </row>
    <row r="10" spans="1:11" x14ac:dyDescent="0.25">
      <c r="A10" t="s">
        <v>22</v>
      </c>
      <c r="B10">
        <v>1</v>
      </c>
      <c r="C10">
        <v>31680</v>
      </c>
      <c r="D10">
        <v>31680</v>
      </c>
      <c r="E10">
        <v>31680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5">
      <c r="A11" t="s">
        <v>23</v>
      </c>
      <c r="B11">
        <v>5</v>
      </c>
      <c r="C11">
        <v>66245</v>
      </c>
      <c r="D11">
        <v>104280</v>
      </c>
      <c r="E11">
        <v>600000</v>
      </c>
      <c r="F11">
        <v>1</v>
      </c>
      <c r="G11">
        <v>1</v>
      </c>
      <c r="H11">
        <v>1</v>
      </c>
      <c r="I11">
        <v>0</v>
      </c>
      <c r="J11">
        <v>1</v>
      </c>
      <c r="K11">
        <v>1</v>
      </c>
    </row>
    <row r="12" spans="1:11" x14ac:dyDescent="0.25">
      <c r="A12" t="s">
        <v>24</v>
      </c>
      <c r="B12">
        <v>170</v>
      </c>
      <c r="C12">
        <v>31535</v>
      </c>
      <c r="D12">
        <v>48000</v>
      </c>
      <c r="E12">
        <v>100000</v>
      </c>
      <c r="F12">
        <v>92</v>
      </c>
      <c r="G12">
        <v>36</v>
      </c>
      <c r="H12">
        <v>30</v>
      </c>
      <c r="I12">
        <v>8</v>
      </c>
      <c r="J12">
        <v>3</v>
      </c>
      <c r="K12">
        <v>1</v>
      </c>
    </row>
    <row r="13" spans="1:11" x14ac:dyDescent="0.25">
      <c r="A13" t="s">
        <v>25</v>
      </c>
      <c r="B13">
        <v>30</v>
      </c>
      <c r="C13">
        <v>121617.5</v>
      </c>
      <c r="D13">
        <v>370415.5</v>
      </c>
      <c r="E13">
        <v>1079846</v>
      </c>
      <c r="F13">
        <v>4</v>
      </c>
      <c r="G13">
        <v>3</v>
      </c>
      <c r="H13">
        <v>7</v>
      </c>
      <c r="I13">
        <v>3</v>
      </c>
      <c r="J13">
        <v>4</v>
      </c>
      <c r="K13">
        <v>9</v>
      </c>
    </row>
    <row r="14" spans="1:11" x14ac:dyDescent="0.25">
      <c r="A14" t="s">
        <v>26</v>
      </c>
      <c r="B14">
        <v>1</v>
      </c>
      <c r="C14">
        <v>3152</v>
      </c>
      <c r="D14">
        <v>3152</v>
      </c>
      <c r="E14">
        <v>3152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25">
      <c r="A15" t="s">
        <v>27</v>
      </c>
      <c r="B15">
        <v>31</v>
      </c>
      <c r="C15">
        <v>118195</v>
      </c>
      <c r="D15">
        <v>536391</v>
      </c>
      <c r="E15">
        <v>1024388.4</v>
      </c>
      <c r="F15">
        <v>5</v>
      </c>
      <c r="G15">
        <v>1</v>
      </c>
      <c r="H15">
        <v>4</v>
      </c>
      <c r="I15">
        <v>3</v>
      </c>
      <c r="J15">
        <v>10</v>
      </c>
      <c r="K15">
        <v>8</v>
      </c>
    </row>
    <row r="16" spans="1:11" x14ac:dyDescent="0.25">
      <c r="A16" t="s">
        <v>28</v>
      </c>
      <c r="B16">
        <v>53</v>
      </c>
      <c r="C16">
        <v>10350</v>
      </c>
      <c r="D16">
        <v>12000</v>
      </c>
      <c r="E16">
        <v>15000</v>
      </c>
      <c r="F16">
        <v>53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5">
      <c r="A17" t="s">
        <v>29</v>
      </c>
      <c r="B17">
        <v>83</v>
      </c>
      <c r="C17">
        <v>20794</v>
      </c>
      <c r="D17">
        <v>33490</v>
      </c>
      <c r="E17">
        <v>55786</v>
      </c>
      <c r="F17">
        <v>57</v>
      </c>
      <c r="G17">
        <v>21</v>
      </c>
      <c r="H17">
        <v>4</v>
      </c>
      <c r="I17">
        <v>1</v>
      </c>
      <c r="J17">
        <v>0</v>
      </c>
      <c r="K17">
        <v>0</v>
      </c>
    </row>
    <row r="18" spans="1:11" x14ac:dyDescent="0.25">
      <c r="A18" t="s">
        <v>30</v>
      </c>
      <c r="B18">
        <v>5</v>
      </c>
      <c r="C18">
        <v>40000</v>
      </c>
      <c r="D18">
        <v>40483</v>
      </c>
      <c r="E18">
        <v>897028</v>
      </c>
      <c r="F18">
        <v>3</v>
      </c>
      <c r="G18">
        <v>0</v>
      </c>
      <c r="H18">
        <v>0</v>
      </c>
      <c r="I18">
        <v>0</v>
      </c>
      <c r="J18">
        <v>1</v>
      </c>
      <c r="K18">
        <v>1</v>
      </c>
    </row>
    <row r="19" spans="1:11" x14ac:dyDescent="0.25">
      <c r="A19" t="s">
        <v>31</v>
      </c>
      <c r="B19">
        <v>12</v>
      </c>
      <c r="C19">
        <v>25511.75</v>
      </c>
      <c r="D19">
        <v>44133.5</v>
      </c>
      <c r="E19">
        <v>47328</v>
      </c>
      <c r="F19">
        <v>9</v>
      </c>
      <c r="G19">
        <v>1</v>
      </c>
      <c r="H19">
        <v>1</v>
      </c>
      <c r="I19">
        <v>0</v>
      </c>
      <c r="J19">
        <v>1</v>
      </c>
      <c r="K19">
        <v>0</v>
      </c>
    </row>
    <row r="20" spans="1:11" x14ac:dyDescent="0.25">
      <c r="A20" t="s">
        <v>32</v>
      </c>
      <c r="B20">
        <v>136</v>
      </c>
      <c r="C20">
        <v>104068.75</v>
      </c>
      <c r="D20">
        <v>287293.5</v>
      </c>
      <c r="E20">
        <v>774425</v>
      </c>
      <c r="F20">
        <v>21</v>
      </c>
      <c r="G20">
        <v>13</v>
      </c>
      <c r="H20">
        <v>27</v>
      </c>
      <c r="I20">
        <v>25</v>
      </c>
      <c r="J20">
        <v>25</v>
      </c>
      <c r="K20">
        <v>25</v>
      </c>
    </row>
    <row r="21" spans="1:11" x14ac:dyDescent="0.25">
      <c r="A21" t="s">
        <v>33</v>
      </c>
      <c r="B21">
        <v>566</v>
      </c>
      <c r="C21">
        <v>43212.5</v>
      </c>
      <c r="D21">
        <v>74048</v>
      </c>
      <c r="E21">
        <v>132817.5</v>
      </c>
      <c r="F21">
        <v>177</v>
      </c>
      <c r="G21">
        <v>181</v>
      </c>
      <c r="H21">
        <v>154</v>
      </c>
      <c r="I21">
        <v>39</v>
      </c>
      <c r="J21">
        <v>9</v>
      </c>
      <c r="K21">
        <v>6</v>
      </c>
    </row>
    <row r="22" spans="1:11" x14ac:dyDescent="0.25">
      <c r="A22" t="s">
        <v>34</v>
      </c>
      <c r="B22">
        <v>3</v>
      </c>
      <c r="C22">
        <v>29844</v>
      </c>
      <c r="D22">
        <v>45286</v>
      </c>
      <c r="E22">
        <v>45286</v>
      </c>
      <c r="F22">
        <v>3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5">
      <c r="A23" t="s">
        <v>35</v>
      </c>
      <c r="B23">
        <v>2</v>
      </c>
      <c r="C23">
        <v>86289.5</v>
      </c>
      <c r="D23">
        <v>127143</v>
      </c>
      <c r="E23">
        <v>167996.5</v>
      </c>
      <c r="F23">
        <v>1</v>
      </c>
      <c r="G23">
        <v>0</v>
      </c>
      <c r="H23">
        <v>1</v>
      </c>
      <c r="I23">
        <v>0</v>
      </c>
      <c r="J23">
        <v>0</v>
      </c>
      <c r="K23">
        <v>0</v>
      </c>
    </row>
    <row r="24" spans="1:11" x14ac:dyDescent="0.25">
      <c r="A24" t="s">
        <v>36</v>
      </c>
      <c r="B24">
        <v>3</v>
      </c>
      <c r="C24">
        <v>448080</v>
      </c>
      <c r="D24">
        <v>670000</v>
      </c>
      <c r="E24">
        <v>886367.5</v>
      </c>
      <c r="F24">
        <v>0</v>
      </c>
      <c r="G24">
        <v>0</v>
      </c>
      <c r="H24">
        <v>1</v>
      </c>
      <c r="I24">
        <v>0</v>
      </c>
      <c r="J24">
        <v>1</v>
      </c>
      <c r="K24">
        <v>1</v>
      </c>
    </row>
    <row r="25" spans="1:11" x14ac:dyDescent="0.25">
      <c r="A25" t="s">
        <v>37</v>
      </c>
      <c r="B25">
        <v>1872</v>
      </c>
      <c r="C25">
        <v>52695.75</v>
      </c>
      <c r="D25">
        <v>95765</v>
      </c>
      <c r="E25">
        <v>135600</v>
      </c>
      <c r="F25">
        <v>436</v>
      </c>
      <c r="G25">
        <v>572</v>
      </c>
      <c r="H25">
        <v>752</v>
      </c>
      <c r="I25">
        <v>101</v>
      </c>
      <c r="J25">
        <v>10</v>
      </c>
      <c r="K25">
        <v>1</v>
      </c>
    </row>
    <row r="26" spans="1:11" x14ac:dyDescent="0.25">
      <c r="A26" t="s">
        <v>38</v>
      </c>
      <c r="B26">
        <v>34</v>
      </c>
      <c r="C26">
        <v>88676.75</v>
      </c>
      <c r="D26">
        <v>192585.5</v>
      </c>
      <c r="E26">
        <v>427571.25</v>
      </c>
      <c r="F26">
        <v>7</v>
      </c>
      <c r="G26">
        <v>3</v>
      </c>
      <c r="H26">
        <v>10</v>
      </c>
      <c r="I26">
        <v>7</v>
      </c>
      <c r="J26">
        <v>6</v>
      </c>
      <c r="K26">
        <v>1</v>
      </c>
    </row>
    <row r="27" spans="1:11" x14ac:dyDescent="0.25">
      <c r="A27" t="s">
        <v>39</v>
      </c>
      <c r="B27">
        <v>106</v>
      </c>
      <c r="C27">
        <v>12625.5</v>
      </c>
      <c r="D27">
        <v>16515</v>
      </c>
      <c r="E27">
        <v>31471.5</v>
      </c>
      <c r="F27">
        <v>84</v>
      </c>
      <c r="G27">
        <v>6</v>
      </c>
      <c r="H27">
        <v>13</v>
      </c>
      <c r="I27">
        <v>1</v>
      </c>
      <c r="J27">
        <v>2</v>
      </c>
      <c r="K27">
        <v>0</v>
      </c>
    </row>
    <row r="28" spans="1:11" x14ac:dyDescent="0.25">
      <c r="A28" t="s">
        <v>40</v>
      </c>
      <c r="B28">
        <v>2</v>
      </c>
      <c r="C28">
        <v>704947.5</v>
      </c>
      <c r="D28">
        <v>1135801</v>
      </c>
      <c r="E28">
        <v>1566654.5</v>
      </c>
      <c r="F28">
        <v>0</v>
      </c>
      <c r="G28">
        <v>0</v>
      </c>
      <c r="H28">
        <v>0</v>
      </c>
      <c r="I28">
        <v>1</v>
      </c>
      <c r="J28">
        <v>0</v>
      </c>
      <c r="K28">
        <v>1</v>
      </c>
    </row>
    <row r="29" spans="1:11" x14ac:dyDescent="0.25">
      <c r="A29" t="s">
        <v>41</v>
      </c>
      <c r="B29">
        <v>380</v>
      </c>
      <c r="C29">
        <v>31495.5</v>
      </c>
      <c r="D29">
        <v>43027</v>
      </c>
      <c r="E29">
        <v>72612.75</v>
      </c>
      <c r="F29">
        <v>241</v>
      </c>
      <c r="G29">
        <v>84</v>
      </c>
      <c r="H29">
        <v>46</v>
      </c>
      <c r="I29">
        <v>8</v>
      </c>
      <c r="J29">
        <v>1</v>
      </c>
      <c r="K29">
        <v>0</v>
      </c>
    </row>
    <row r="30" spans="1:11" x14ac:dyDescent="0.25">
      <c r="A30" t="s">
        <v>42</v>
      </c>
      <c r="B30">
        <v>114</v>
      </c>
      <c r="C30">
        <v>30500</v>
      </c>
      <c r="D30">
        <v>49830</v>
      </c>
      <c r="E30">
        <v>71670.25</v>
      </c>
      <c r="F30">
        <v>60</v>
      </c>
      <c r="G30">
        <v>35</v>
      </c>
      <c r="H30">
        <v>14</v>
      </c>
      <c r="I30">
        <v>2</v>
      </c>
      <c r="J30">
        <v>3</v>
      </c>
      <c r="K30">
        <v>0</v>
      </c>
    </row>
    <row r="31" spans="1:11" x14ac:dyDescent="0.25">
      <c r="A31" t="s">
        <v>43</v>
      </c>
      <c r="B31">
        <v>210</v>
      </c>
      <c r="C31">
        <v>16623.25</v>
      </c>
      <c r="D31">
        <v>29268</v>
      </c>
      <c r="E31">
        <v>74858.75</v>
      </c>
      <c r="F31">
        <v>135</v>
      </c>
      <c r="G31">
        <v>36</v>
      </c>
      <c r="H31">
        <v>23</v>
      </c>
      <c r="I31">
        <v>10</v>
      </c>
      <c r="J31">
        <v>2</v>
      </c>
      <c r="K31">
        <v>4</v>
      </c>
    </row>
    <row r="32" spans="1:11" x14ac:dyDescent="0.25">
      <c r="A32" t="s">
        <v>44</v>
      </c>
      <c r="B32">
        <v>31</v>
      </c>
      <c r="C32">
        <v>63399.5</v>
      </c>
      <c r="D32">
        <v>97435</v>
      </c>
      <c r="E32">
        <v>126200.5</v>
      </c>
      <c r="F32">
        <v>4</v>
      </c>
      <c r="G32">
        <v>13</v>
      </c>
      <c r="H32">
        <v>12</v>
      </c>
      <c r="I32">
        <v>2</v>
      </c>
      <c r="J32">
        <v>0</v>
      </c>
      <c r="K32">
        <v>0</v>
      </c>
    </row>
    <row r="33" spans="1:11" x14ac:dyDescent="0.25">
      <c r="A33" t="s">
        <v>45</v>
      </c>
      <c r="B33">
        <v>19202</v>
      </c>
      <c r="C33">
        <v>38266.25</v>
      </c>
      <c r="D33">
        <v>59086</v>
      </c>
      <c r="E33">
        <v>104529.25</v>
      </c>
      <c r="F33">
        <v>7784</v>
      </c>
      <c r="G33">
        <v>6370</v>
      </c>
      <c r="H33">
        <v>3644</v>
      </c>
      <c r="I33">
        <v>935</v>
      </c>
      <c r="J33">
        <v>307</v>
      </c>
      <c r="K33">
        <v>162</v>
      </c>
    </row>
    <row r="34" spans="1:11" x14ac:dyDescent="0.25">
      <c r="A34" t="s">
        <v>46</v>
      </c>
      <c r="B34">
        <v>61</v>
      </c>
      <c r="C34">
        <v>19200</v>
      </c>
      <c r="D34">
        <v>46600</v>
      </c>
      <c r="E34">
        <v>110000</v>
      </c>
      <c r="F34">
        <v>32</v>
      </c>
      <c r="G34">
        <v>7</v>
      </c>
      <c r="H34">
        <v>17</v>
      </c>
      <c r="I34">
        <v>0</v>
      </c>
      <c r="J34">
        <v>4</v>
      </c>
      <c r="K34">
        <v>1</v>
      </c>
    </row>
    <row r="35" spans="1:11" x14ac:dyDescent="0.25">
      <c r="A35" t="s">
        <v>47</v>
      </c>
      <c r="B35">
        <v>443</v>
      </c>
      <c r="C35">
        <v>31325</v>
      </c>
      <c r="D35">
        <v>48761</v>
      </c>
      <c r="E35">
        <v>84880</v>
      </c>
      <c r="F35">
        <v>226</v>
      </c>
      <c r="G35">
        <v>129</v>
      </c>
      <c r="H35">
        <v>65</v>
      </c>
      <c r="I35">
        <v>21</v>
      </c>
      <c r="J35">
        <v>1</v>
      </c>
      <c r="K35">
        <v>1</v>
      </c>
    </row>
    <row r="36" spans="1:11" x14ac:dyDescent="0.25">
      <c r="A36" t="s">
        <v>48</v>
      </c>
      <c r="B36">
        <v>2405</v>
      </c>
      <c r="C36">
        <v>40677</v>
      </c>
      <c r="D36">
        <v>81000</v>
      </c>
      <c r="E36">
        <v>206334</v>
      </c>
      <c r="F36">
        <v>792</v>
      </c>
      <c r="G36">
        <v>569</v>
      </c>
      <c r="H36">
        <v>533</v>
      </c>
      <c r="I36">
        <v>261</v>
      </c>
      <c r="J36">
        <v>155</v>
      </c>
      <c r="K36">
        <v>95</v>
      </c>
    </row>
    <row r="37" spans="1:11" x14ac:dyDescent="0.25">
      <c r="A37" t="s">
        <v>49</v>
      </c>
      <c r="B37">
        <v>91</v>
      </c>
      <c r="C37">
        <v>560</v>
      </c>
      <c r="D37">
        <v>3700</v>
      </c>
      <c r="E37">
        <v>29356</v>
      </c>
      <c r="F37">
        <v>80</v>
      </c>
      <c r="G37">
        <v>2</v>
      </c>
      <c r="H37">
        <v>8</v>
      </c>
      <c r="I37">
        <v>0</v>
      </c>
      <c r="J37">
        <v>1</v>
      </c>
      <c r="K37">
        <v>0</v>
      </c>
    </row>
    <row r="38" spans="1:11" x14ac:dyDescent="0.25">
      <c r="A38" t="s">
        <v>50</v>
      </c>
      <c r="B38">
        <v>15</v>
      </c>
      <c r="C38">
        <v>2658.5</v>
      </c>
      <c r="D38">
        <v>9600</v>
      </c>
      <c r="E38">
        <v>42313.5</v>
      </c>
      <c r="F38">
        <v>13</v>
      </c>
      <c r="G38">
        <v>1</v>
      </c>
      <c r="H38">
        <v>1</v>
      </c>
      <c r="I38">
        <v>0</v>
      </c>
      <c r="J38">
        <v>0</v>
      </c>
      <c r="K38">
        <v>0</v>
      </c>
    </row>
    <row r="39" spans="1:11" x14ac:dyDescent="0.25">
      <c r="A39" t="s">
        <v>51</v>
      </c>
      <c r="B39">
        <v>79</v>
      </c>
      <c r="C39">
        <v>2075</v>
      </c>
      <c r="D39">
        <v>10000</v>
      </c>
      <c r="E39">
        <v>37900</v>
      </c>
      <c r="F39">
        <v>63</v>
      </c>
      <c r="G39">
        <v>5</v>
      </c>
      <c r="H39">
        <v>8</v>
      </c>
      <c r="I39">
        <v>2</v>
      </c>
      <c r="J39">
        <v>1</v>
      </c>
      <c r="K39">
        <v>0</v>
      </c>
    </row>
    <row r="40" spans="1:11" x14ac:dyDescent="0.25">
      <c r="A40" t="s">
        <v>52</v>
      </c>
      <c r="B40">
        <v>119</v>
      </c>
      <c r="C40">
        <v>29077.5</v>
      </c>
      <c r="D40">
        <v>41872</v>
      </c>
      <c r="E40">
        <v>65500</v>
      </c>
      <c r="F40">
        <v>67</v>
      </c>
      <c r="G40">
        <v>38</v>
      </c>
      <c r="H40">
        <v>12</v>
      </c>
      <c r="I40">
        <v>2</v>
      </c>
      <c r="J40">
        <v>0</v>
      </c>
      <c r="K40">
        <v>0</v>
      </c>
    </row>
    <row r="41" spans="1:11" x14ac:dyDescent="0.25">
      <c r="A41" t="s">
        <v>53</v>
      </c>
      <c r="B41">
        <v>12</v>
      </c>
      <c r="C41">
        <v>25602.75</v>
      </c>
      <c r="D41">
        <v>30164</v>
      </c>
      <c r="E41">
        <v>42000</v>
      </c>
      <c r="F41">
        <v>9</v>
      </c>
      <c r="G41">
        <v>2</v>
      </c>
      <c r="H41">
        <v>0</v>
      </c>
      <c r="I41">
        <v>1</v>
      </c>
      <c r="J41">
        <v>0</v>
      </c>
      <c r="K41">
        <v>0</v>
      </c>
    </row>
    <row r="42" spans="1:11" x14ac:dyDescent="0.25">
      <c r="A42" t="s">
        <v>54</v>
      </c>
      <c r="B42">
        <v>110</v>
      </c>
      <c r="C42">
        <v>1948.5</v>
      </c>
      <c r="D42">
        <v>4832</v>
      </c>
      <c r="E42">
        <v>12476</v>
      </c>
      <c r="F42">
        <v>104</v>
      </c>
      <c r="G42">
        <v>0</v>
      </c>
      <c r="H42">
        <v>4</v>
      </c>
      <c r="I42">
        <v>0</v>
      </c>
      <c r="J42">
        <v>2</v>
      </c>
      <c r="K42">
        <v>0</v>
      </c>
    </row>
    <row r="43" spans="1:11" x14ac:dyDescent="0.25">
      <c r="A43" t="s">
        <v>55</v>
      </c>
      <c r="B43">
        <v>227</v>
      </c>
      <c r="C43">
        <v>426</v>
      </c>
      <c r="D43">
        <v>527</v>
      </c>
      <c r="E43">
        <v>2379</v>
      </c>
      <c r="F43">
        <v>222</v>
      </c>
      <c r="G43">
        <v>3</v>
      </c>
      <c r="H43">
        <v>2</v>
      </c>
      <c r="I43">
        <v>0</v>
      </c>
      <c r="J43">
        <v>0</v>
      </c>
      <c r="K43">
        <v>0</v>
      </c>
    </row>
    <row r="44" spans="1:11" x14ac:dyDescent="0.25">
      <c r="A44" t="s">
        <v>56</v>
      </c>
      <c r="B44">
        <v>3</v>
      </c>
      <c r="C44">
        <v>25468.5</v>
      </c>
      <c r="D44">
        <v>26013</v>
      </c>
      <c r="E44">
        <v>29456.5</v>
      </c>
      <c r="F44">
        <v>3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25">
      <c r="A45" t="s">
        <v>57</v>
      </c>
      <c r="B45">
        <v>10</v>
      </c>
      <c r="C45">
        <v>1530</v>
      </c>
      <c r="D45">
        <v>2145.5</v>
      </c>
      <c r="E45">
        <v>27368.75</v>
      </c>
      <c r="F45">
        <v>9</v>
      </c>
      <c r="G45">
        <v>1</v>
      </c>
      <c r="H45">
        <v>0</v>
      </c>
      <c r="I45">
        <v>0</v>
      </c>
      <c r="J45">
        <v>0</v>
      </c>
      <c r="K45">
        <v>0</v>
      </c>
    </row>
    <row r="46" spans="1:11" x14ac:dyDescent="0.25">
      <c r="A46" t="s">
        <v>58</v>
      </c>
      <c r="B46">
        <v>28</v>
      </c>
      <c r="C46">
        <v>136997.25</v>
      </c>
      <c r="D46">
        <v>238411.5</v>
      </c>
      <c r="E46">
        <v>630559.25</v>
      </c>
      <c r="F46">
        <v>1</v>
      </c>
      <c r="G46">
        <v>3</v>
      </c>
      <c r="H46">
        <v>11</v>
      </c>
      <c r="I46">
        <v>2</v>
      </c>
      <c r="J46">
        <v>8</v>
      </c>
      <c r="K46">
        <v>3</v>
      </c>
    </row>
    <row r="47" spans="1:11" x14ac:dyDescent="0.25">
      <c r="A47" t="s">
        <v>59</v>
      </c>
      <c r="B47">
        <v>1</v>
      </c>
      <c r="C47">
        <v>6915</v>
      </c>
      <c r="D47">
        <v>6915</v>
      </c>
      <c r="E47">
        <v>6915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25">
      <c r="A48" t="s">
        <v>60</v>
      </c>
      <c r="B48">
        <v>56</v>
      </c>
      <c r="C48">
        <v>58893.5</v>
      </c>
      <c r="D48">
        <v>75505</v>
      </c>
      <c r="E48">
        <v>121061</v>
      </c>
      <c r="F48">
        <v>10</v>
      </c>
      <c r="G48">
        <v>27</v>
      </c>
      <c r="H48">
        <v>18</v>
      </c>
      <c r="I48">
        <v>1</v>
      </c>
      <c r="J48">
        <v>0</v>
      </c>
      <c r="K48">
        <v>0</v>
      </c>
    </row>
    <row r="49" spans="1:11" x14ac:dyDescent="0.25">
      <c r="A49" t="s">
        <v>61</v>
      </c>
      <c r="B49">
        <v>9</v>
      </c>
      <c r="C49">
        <v>450</v>
      </c>
      <c r="D49">
        <v>521</v>
      </c>
      <c r="E49">
        <v>6100</v>
      </c>
      <c r="F49">
        <v>9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25">
      <c r="A50" t="s">
        <v>62</v>
      </c>
      <c r="B50">
        <v>22</v>
      </c>
      <c r="C50">
        <v>42121</v>
      </c>
      <c r="D50">
        <v>74480</v>
      </c>
      <c r="E50">
        <v>164454.5</v>
      </c>
      <c r="F50">
        <v>9</v>
      </c>
      <c r="G50">
        <v>4</v>
      </c>
      <c r="H50">
        <v>7</v>
      </c>
      <c r="I50">
        <v>0</v>
      </c>
      <c r="J50">
        <v>2</v>
      </c>
      <c r="K50">
        <v>0</v>
      </c>
    </row>
    <row r="51" spans="1:11" x14ac:dyDescent="0.25">
      <c r="A51" t="s">
        <v>63</v>
      </c>
      <c r="B51">
        <v>165</v>
      </c>
      <c r="C51">
        <v>33000</v>
      </c>
      <c r="D51">
        <v>53719</v>
      </c>
      <c r="E51">
        <v>149740</v>
      </c>
      <c r="F51">
        <v>77</v>
      </c>
      <c r="G51">
        <v>36</v>
      </c>
      <c r="H51">
        <v>38</v>
      </c>
      <c r="I51">
        <v>11</v>
      </c>
      <c r="J51">
        <v>3</v>
      </c>
      <c r="K51">
        <v>0</v>
      </c>
    </row>
    <row r="52" spans="1:11" x14ac:dyDescent="0.25">
      <c r="A52" t="s">
        <v>64</v>
      </c>
      <c r="B52">
        <v>73</v>
      </c>
      <c r="C52">
        <v>26750</v>
      </c>
      <c r="D52">
        <v>40000</v>
      </c>
      <c r="E52">
        <v>77000</v>
      </c>
      <c r="F52">
        <v>48</v>
      </c>
      <c r="G52">
        <v>10</v>
      </c>
      <c r="H52">
        <v>9</v>
      </c>
      <c r="I52">
        <v>4</v>
      </c>
      <c r="J52">
        <v>1</v>
      </c>
      <c r="K52">
        <v>1</v>
      </c>
    </row>
    <row r="53" spans="1:11" x14ac:dyDescent="0.25">
      <c r="A53" t="s">
        <v>65</v>
      </c>
      <c r="B53">
        <v>3</v>
      </c>
      <c r="C53">
        <v>10761.5</v>
      </c>
      <c r="D53">
        <v>18523</v>
      </c>
      <c r="E53">
        <v>18936.5</v>
      </c>
      <c r="F53">
        <v>3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 x14ac:dyDescent="0.25">
      <c r="A54" t="s">
        <v>66</v>
      </c>
      <c r="B54">
        <v>148</v>
      </c>
      <c r="C54">
        <v>18750</v>
      </c>
      <c r="D54">
        <v>27495.5</v>
      </c>
      <c r="E54">
        <v>32780.5</v>
      </c>
      <c r="F54">
        <v>143</v>
      </c>
      <c r="G54">
        <v>4</v>
      </c>
      <c r="H54">
        <v>1</v>
      </c>
      <c r="I54">
        <v>0</v>
      </c>
      <c r="J54">
        <v>0</v>
      </c>
      <c r="K54">
        <v>0</v>
      </c>
    </row>
    <row r="55" spans="1:11" x14ac:dyDescent="0.25">
      <c r="A55" t="s">
        <v>67</v>
      </c>
      <c r="B55">
        <v>31</v>
      </c>
      <c r="C55">
        <v>30175</v>
      </c>
      <c r="D55">
        <v>40358</v>
      </c>
      <c r="E55">
        <v>87324.5</v>
      </c>
      <c r="F55">
        <v>18</v>
      </c>
      <c r="G55">
        <v>6</v>
      </c>
      <c r="H55">
        <v>7</v>
      </c>
      <c r="I55">
        <v>0</v>
      </c>
      <c r="J55">
        <v>0</v>
      </c>
      <c r="K55">
        <v>0</v>
      </c>
    </row>
    <row r="56" spans="1:11" x14ac:dyDescent="0.25">
      <c r="A56" t="s">
        <v>68</v>
      </c>
      <c r="B56">
        <v>143</v>
      </c>
      <c r="C56">
        <v>26362.5</v>
      </c>
      <c r="D56">
        <v>39400</v>
      </c>
      <c r="E56">
        <v>79929.5</v>
      </c>
      <c r="F56">
        <v>84</v>
      </c>
      <c r="G56">
        <v>36</v>
      </c>
      <c r="H56">
        <v>18</v>
      </c>
      <c r="I56">
        <v>4</v>
      </c>
      <c r="J56">
        <v>1</v>
      </c>
      <c r="K56">
        <v>0</v>
      </c>
    </row>
    <row r="57" spans="1:11" x14ac:dyDescent="0.25">
      <c r="A57" t="s">
        <v>69</v>
      </c>
      <c r="B57">
        <v>227</v>
      </c>
      <c r="C57">
        <v>38242</v>
      </c>
      <c r="D57">
        <v>55945</v>
      </c>
      <c r="E57">
        <v>107110</v>
      </c>
      <c r="F57">
        <v>101</v>
      </c>
      <c r="G57">
        <v>64</v>
      </c>
      <c r="H57">
        <v>48</v>
      </c>
      <c r="I57">
        <v>14</v>
      </c>
      <c r="J57">
        <v>0</v>
      </c>
      <c r="K57">
        <v>0</v>
      </c>
    </row>
    <row r="58" spans="1:11" x14ac:dyDescent="0.25">
      <c r="A58" t="s">
        <v>70</v>
      </c>
      <c r="B58">
        <v>131</v>
      </c>
      <c r="C58">
        <v>37982.5</v>
      </c>
      <c r="D58">
        <v>63920</v>
      </c>
      <c r="E58">
        <v>102545</v>
      </c>
      <c r="F58">
        <v>53</v>
      </c>
      <c r="G58">
        <v>44</v>
      </c>
      <c r="H58">
        <v>27</v>
      </c>
      <c r="I58">
        <v>4</v>
      </c>
      <c r="J58">
        <v>3</v>
      </c>
      <c r="K58">
        <v>0</v>
      </c>
    </row>
    <row r="59" spans="1:11" x14ac:dyDescent="0.25">
      <c r="A59" t="s">
        <v>71</v>
      </c>
      <c r="B59">
        <v>5</v>
      </c>
      <c r="C59">
        <v>18164</v>
      </c>
      <c r="D59">
        <v>24044</v>
      </c>
      <c r="E59">
        <v>26013</v>
      </c>
      <c r="F59">
        <v>5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x14ac:dyDescent="0.25">
      <c r="A60" t="s">
        <v>72</v>
      </c>
      <c r="B60">
        <v>305</v>
      </c>
      <c r="C60">
        <v>28732</v>
      </c>
      <c r="D60">
        <v>38857</v>
      </c>
      <c r="E60">
        <v>100944</v>
      </c>
      <c r="F60">
        <v>190</v>
      </c>
      <c r="G60">
        <v>36</v>
      </c>
      <c r="H60">
        <v>64</v>
      </c>
      <c r="I60">
        <v>9</v>
      </c>
      <c r="J60">
        <v>5</v>
      </c>
      <c r="K60">
        <v>1</v>
      </c>
    </row>
    <row r="61" spans="1:11" x14ac:dyDescent="0.25">
      <c r="A61" t="s">
        <v>73</v>
      </c>
      <c r="B61">
        <v>257</v>
      </c>
      <c r="C61">
        <v>51975</v>
      </c>
      <c r="D61">
        <v>80743</v>
      </c>
      <c r="E61">
        <v>120640</v>
      </c>
      <c r="F61">
        <v>57</v>
      </c>
      <c r="G61">
        <v>105</v>
      </c>
      <c r="H61">
        <v>85</v>
      </c>
      <c r="I61">
        <v>10</v>
      </c>
      <c r="J61">
        <v>0</v>
      </c>
      <c r="K61">
        <v>0</v>
      </c>
    </row>
    <row r="62" spans="1:11" x14ac:dyDescent="0.25">
      <c r="A62" t="s">
        <v>74</v>
      </c>
      <c r="B62">
        <v>137</v>
      </c>
      <c r="C62">
        <v>65612</v>
      </c>
      <c r="D62">
        <v>95856</v>
      </c>
      <c r="E62">
        <v>135350</v>
      </c>
      <c r="F62">
        <v>20</v>
      </c>
      <c r="G62">
        <v>53</v>
      </c>
      <c r="H62">
        <v>56</v>
      </c>
      <c r="I62">
        <v>5</v>
      </c>
      <c r="J62">
        <v>3</v>
      </c>
      <c r="K62">
        <v>0</v>
      </c>
    </row>
    <row r="63" spans="1:11" x14ac:dyDescent="0.25">
      <c r="A63" t="s">
        <v>75</v>
      </c>
      <c r="B63">
        <v>2</v>
      </c>
      <c r="C63">
        <v>22977.25</v>
      </c>
      <c r="D63">
        <v>29151.5</v>
      </c>
      <c r="E63">
        <v>35325.75</v>
      </c>
      <c r="F63">
        <v>2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 x14ac:dyDescent="0.25">
      <c r="A64" t="s">
        <v>76</v>
      </c>
      <c r="B64">
        <v>54</v>
      </c>
      <c r="C64">
        <v>17425.25</v>
      </c>
      <c r="D64">
        <v>26500</v>
      </c>
      <c r="E64">
        <v>41306</v>
      </c>
      <c r="F64">
        <v>44</v>
      </c>
      <c r="G64">
        <v>5</v>
      </c>
      <c r="H64">
        <v>4</v>
      </c>
      <c r="I64">
        <v>1</v>
      </c>
      <c r="J64">
        <v>0</v>
      </c>
      <c r="K64">
        <v>0</v>
      </c>
    </row>
    <row r="65" spans="1:11" x14ac:dyDescent="0.25">
      <c r="A65" t="s">
        <v>77</v>
      </c>
      <c r="B65">
        <v>5</v>
      </c>
      <c r="C65">
        <v>120000</v>
      </c>
      <c r="D65">
        <v>120000</v>
      </c>
      <c r="E65">
        <v>120000</v>
      </c>
      <c r="F65">
        <v>0</v>
      </c>
      <c r="G65">
        <v>1</v>
      </c>
      <c r="H65">
        <v>3</v>
      </c>
      <c r="I65">
        <v>0</v>
      </c>
      <c r="J65">
        <v>0</v>
      </c>
      <c r="K65">
        <v>1</v>
      </c>
    </row>
    <row r="66" spans="1:11" x14ac:dyDescent="0.25">
      <c r="A66" t="s">
        <v>78</v>
      </c>
      <c r="B66">
        <v>93</v>
      </c>
      <c r="C66">
        <v>33091</v>
      </c>
      <c r="D66">
        <v>51859</v>
      </c>
      <c r="E66">
        <v>96071</v>
      </c>
      <c r="F66">
        <v>45</v>
      </c>
      <c r="G66">
        <v>26</v>
      </c>
      <c r="H66">
        <v>17</v>
      </c>
      <c r="I66">
        <v>5</v>
      </c>
      <c r="J66">
        <v>0</v>
      </c>
      <c r="K66">
        <v>0</v>
      </c>
    </row>
    <row r="67" spans="1:11" x14ac:dyDescent="0.25">
      <c r="A67" t="s">
        <v>79</v>
      </c>
      <c r="B67">
        <v>100</v>
      </c>
      <c r="C67">
        <v>30878</v>
      </c>
      <c r="D67">
        <v>43849</v>
      </c>
      <c r="E67">
        <v>61494</v>
      </c>
      <c r="F67">
        <v>59</v>
      </c>
      <c r="G67">
        <v>34</v>
      </c>
      <c r="H67">
        <v>7</v>
      </c>
      <c r="I67">
        <v>0</v>
      </c>
      <c r="J67">
        <v>0</v>
      </c>
      <c r="K67">
        <v>0</v>
      </c>
    </row>
    <row r="68" spans="1:11" x14ac:dyDescent="0.25">
      <c r="A68" t="s">
        <v>80</v>
      </c>
      <c r="B68">
        <v>9</v>
      </c>
      <c r="C68">
        <v>26000</v>
      </c>
      <c r="D68">
        <v>36000</v>
      </c>
      <c r="E68">
        <v>149000</v>
      </c>
      <c r="F68">
        <v>5</v>
      </c>
      <c r="G68">
        <v>1</v>
      </c>
      <c r="H68">
        <v>1</v>
      </c>
      <c r="I68">
        <v>1</v>
      </c>
      <c r="J68">
        <v>0</v>
      </c>
      <c r="K68">
        <v>1</v>
      </c>
    </row>
    <row r="69" spans="1:11" x14ac:dyDescent="0.25">
      <c r="A69" t="s">
        <v>81</v>
      </c>
      <c r="B69">
        <v>67</v>
      </c>
      <c r="C69">
        <v>25665.5</v>
      </c>
      <c r="D69">
        <v>39956</v>
      </c>
      <c r="E69">
        <v>64041.5</v>
      </c>
      <c r="F69">
        <v>42</v>
      </c>
      <c r="G69">
        <v>13</v>
      </c>
      <c r="H69">
        <v>9</v>
      </c>
      <c r="I69">
        <v>3</v>
      </c>
      <c r="J69">
        <v>0</v>
      </c>
      <c r="K69">
        <v>0</v>
      </c>
    </row>
    <row r="70" spans="1:11" x14ac:dyDescent="0.25">
      <c r="A70" t="s">
        <v>82</v>
      </c>
      <c r="B70">
        <v>4</v>
      </c>
      <c r="C70">
        <v>18894.25</v>
      </c>
      <c r="D70">
        <v>35401</v>
      </c>
      <c r="E70">
        <v>54928</v>
      </c>
      <c r="F70">
        <v>2</v>
      </c>
      <c r="G70">
        <v>2</v>
      </c>
      <c r="H70">
        <v>0</v>
      </c>
      <c r="I70">
        <v>0</v>
      </c>
      <c r="J70">
        <v>0</v>
      </c>
      <c r="K70">
        <v>0</v>
      </c>
    </row>
    <row r="71" spans="1:11" x14ac:dyDescent="0.25">
      <c r="A71" t="s">
        <v>83</v>
      </c>
      <c r="B71">
        <v>7</v>
      </c>
      <c r="C71">
        <v>35850</v>
      </c>
      <c r="D71">
        <v>69861</v>
      </c>
      <c r="E71">
        <v>83852.5</v>
      </c>
      <c r="F71">
        <v>3</v>
      </c>
      <c r="G71">
        <v>3</v>
      </c>
      <c r="H71">
        <v>0</v>
      </c>
      <c r="I71">
        <v>0</v>
      </c>
      <c r="J71">
        <v>1</v>
      </c>
      <c r="K71">
        <v>0</v>
      </c>
    </row>
    <row r="72" spans="1:11" x14ac:dyDescent="0.25">
      <c r="A72" t="s">
        <v>84</v>
      </c>
      <c r="B72">
        <v>14</v>
      </c>
      <c r="C72">
        <v>385345</v>
      </c>
      <c r="D72">
        <v>677185</v>
      </c>
      <c r="E72">
        <v>1019451.75</v>
      </c>
      <c r="F72">
        <v>0</v>
      </c>
      <c r="G72">
        <v>0</v>
      </c>
      <c r="H72">
        <v>2</v>
      </c>
      <c r="I72">
        <v>3</v>
      </c>
      <c r="J72">
        <v>5</v>
      </c>
      <c r="K72">
        <v>4</v>
      </c>
    </row>
    <row r="73" spans="1:11" x14ac:dyDescent="0.25">
      <c r="A73" t="s">
        <v>85</v>
      </c>
      <c r="B73">
        <v>12</v>
      </c>
      <c r="C73">
        <v>72779.75</v>
      </c>
      <c r="D73">
        <v>131997.5</v>
      </c>
      <c r="E73">
        <v>214717.25</v>
      </c>
      <c r="F73">
        <v>2</v>
      </c>
      <c r="G73">
        <v>2</v>
      </c>
      <c r="H73">
        <v>5</v>
      </c>
      <c r="I73">
        <v>2</v>
      </c>
      <c r="J73">
        <v>1</v>
      </c>
      <c r="K73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73"/>
  <sheetViews>
    <sheetView workbookViewId="0">
      <selection activeCell="Q8" sqref="Q8"/>
    </sheetView>
  </sheetViews>
  <sheetFormatPr defaultRowHeight="15" x14ac:dyDescent="0.25"/>
  <cols>
    <col min="1" max="1" width="48.85546875" bestFit="1" customWidth="1"/>
    <col min="11" max="11" width="18" bestFit="1" customWidth="1"/>
  </cols>
  <sheetData>
    <row r="1" spans="1:14" x14ac:dyDescent="0.25">
      <c r="A1" s="1" t="s">
        <v>0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  <c r="M1" s="1" t="s">
        <v>103</v>
      </c>
      <c r="N1" s="1" t="s">
        <v>104</v>
      </c>
    </row>
    <row r="2" spans="1:14" x14ac:dyDescent="0.25">
      <c r="A2" t="s">
        <v>14</v>
      </c>
      <c r="B2">
        <v>13</v>
      </c>
      <c r="C2">
        <v>58</v>
      </c>
      <c r="D2">
        <v>69.599999999999994</v>
      </c>
      <c r="E2">
        <v>80</v>
      </c>
      <c r="F2">
        <v>0</v>
      </c>
      <c r="G2">
        <v>2</v>
      </c>
      <c r="H2">
        <v>2</v>
      </c>
      <c r="I2">
        <v>6</v>
      </c>
      <c r="J2">
        <v>0</v>
      </c>
      <c r="K2">
        <v>2</v>
      </c>
      <c r="L2">
        <v>1</v>
      </c>
      <c r="M2">
        <v>0</v>
      </c>
      <c r="N2">
        <v>0</v>
      </c>
    </row>
    <row r="3" spans="1:14" x14ac:dyDescent="0.25">
      <c r="A3" t="s">
        <v>15</v>
      </c>
      <c r="B3">
        <v>10</v>
      </c>
      <c r="C3">
        <v>55.150000000000013</v>
      </c>
      <c r="D3">
        <v>175.45</v>
      </c>
      <c r="E3">
        <v>212.125</v>
      </c>
      <c r="F3">
        <v>0</v>
      </c>
      <c r="G3">
        <v>0</v>
      </c>
      <c r="H3">
        <v>3</v>
      </c>
      <c r="I3">
        <v>1</v>
      </c>
      <c r="J3">
        <v>0</v>
      </c>
      <c r="K3">
        <v>0</v>
      </c>
      <c r="L3">
        <v>4</v>
      </c>
      <c r="M3">
        <v>2</v>
      </c>
      <c r="N3">
        <v>0</v>
      </c>
    </row>
    <row r="4" spans="1:14" x14ac:dyDescent="0.25">
      <c r="A4" t="s">
        <v>16</v>
      </c>
      <c r="B4">
        <v>1</v>
      </c>
      <c r="C4">
        <v>306.39999999999998</v>
      </c>
      <c r="D4">
        <v>306.39999999999998</v>
      </c>
      <c r="E4">
        <v>306.39999999999998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</row>
    <row r="5" spans="1:14" x14ac:dyDescent="0.25">
      <c r="A5" t="s">
        <v>17</v>
      </c>
      <c r="B5">
        <v>24</v>
      </c>
      <c r="C5">
        <v>47.45</v>
      </c>
      <c r="D5">
        <v>57.8</v>
      </c>
      <c r="E5">
        <v>88.224999999999994</v>
      </c>
      <c r="F5">
        <v>1</v>
      </c>
      <c r="G5">
        <v>2</v>
      </c>
      <c r="H5">
        <v>10</v>
      </c>
      <c r="I5">
        <v>4</v>
      </c>
      <c r="J5">
        <v>1</v>
      </c>
      <c r="K5">
        <v>6</v>
      </c>
      <c r="L5">
        <v>0</v>
      </c>
      <c r="M5">
        <v>0</v>
      </c>
      <c r="N5">
        <v>0</v>
      </c>
    </row>
    <row r="6" spans="1:14" x14ac:dyDescent="0.25">
      <c r="A6" t="s">
        <v>18</v>
      </c>
      <c r="B6">
        <v>10</v>
      </c>
      <c r="C6">
        <v>30.15</v>
      </c>
      <c r="D6">
        <v>54.1</v>
      </c>
      <c r="E6">
        <v>90.025000000000006</v>
      </c>
      <c r="F6">
        <v>2</v>
      </c>
      <c r="G6">
        <v>1</v>
      </c>
      <c r="H6">
        <v>3</v>
      </c>
      <c r="I6">
        <v>0</v>
      </c>
      <c r="J6">
        <v>3</v>
      </c>
      <c r="K6">
        <v>1</v>
      </c>
      <c r="L6">
        <v>0</v>
      </c>
      <c r="M6">
        <v>0</v>
      </c>
      <c r="N6">
        <v>0</v>
      </c>
    </row>
    <row r="7" spans="1:14" x14ac:dyDescent="0.25">
      <c r="A7" t="s">
        <v>19</v>
      </c>
      <c r="B7">
        <v>1</v>
      </c>
      <c r="C7">
        <v>98.5</v>
      </c>
      <c r="D7">
        <v>98.5</v>
      </c>
      <c r="E7">
        <v>98.5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</row>
    <row r="8" spans="1:14" x14ac:dyDescent="0.25">
      <c r="A8" t="s">
        <v>20</v>
      </c>
      <c r="B8">
        <v>7</v>
      </c>
      <c r="C8">
        <v>50.7</v>
      </c>
      <c r="D8">
        <v>81.3</v>
      </c>
      <c r="E8">
        <v>84.800000000000011</v>
      </c>
      <c r="F8">
        <v>0</v>
      </c>
      <c r="G8">
        <v>1</v>
      </c>
      <c r="H8">
        <v>2</v>
      </c>
      <c r="I8">
        <v>0</v>
      </c>
      <c r="J8">
        <v>4</v>
      </c>
      <c r="K8">
        <v>0</v>
      </c>
      <c r="L8">
        <v>0</v>
      </c>
      <c r="M8">
        <v>0</v>
      </c>
      <c r="N8">
        <v>0</v>
      </c>
    </row>
    <row r="9" spans="1:14" x14ac:dyDescent="0.25">
      <c r="A9" t="s">
        <v>21</v>
      </c>
      <c r="B9">
        <v>289</v>
      </c>
      <c r="C9">
        <v>49.4</v>
      </c>
      <c r="D9">
        <v>85</v>
      </c>
      <c r="E9">
        <v>141</v>
      </c>
      <c r="F9">
        <v>21</v>
      </c>
      <c r="G9">
        <v>31</v>
      </c>
      <c r="H9">
        <v>35</v>
      </c>
      <c r="I9">
        <v>38</v>
      </c>
      <c r="J9">
        <v>42</v>
      </c>
      <c r="K9">
        <v>54</v>
      </c>
      <c r="L9">
        <v>26</v>
      </c>
      <c r="M9">
        <v>13</v>
      </c>
      <c r="N9">
        <v>22</v>
      </c>
    </row>
    <row r="10" spans="1:14" x14ac:dyDescent="0.25">
      <c r="A10" t="s">
        <v>22</v>
      </c>
      <c r="B10">
        <v>1</v>
      </c>
      <c r="C10">
        <v>32.6</v>
      </c>
      <c r="D10">
        <v>32.6</v>
      </c>
      <c r="E10">
        <v>32.6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25">
      <c r="A11" t="s">
        <v>23</v>
      </c>
      <c r="B11">
        <v>5</v>
      </c>
      <c r="C11">
        <v>157.9</v>
      </c>
      <c r="D11">
        <v>275.3</v>
      </c>
      <c r="E11">
        <v>282.3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</v>
      </c>
      <c r="M11">
        <v>3</v>
      </c>
      <c r="N11">
        <v>0</v>
      </c>
    </row>
    <row r="12" spans="1:14" x14ac:dyDescent="0.25">
      <c r="A12" t="s">
        <v>24</v>
      </c>
      <c r="B12">
        <v>159</v>
      </c>
      <c r="C12">
        <v>23.95</v>
      </c>
      <c r="D12">
        <v>38.5</v>
      </c>
      <c r="E12">
        <v>61.25</v>
      </c>
      <c r="F12">
        <v>26</v>
      </c>
      <c r="G12">
        <v>59</v>
      </c>
      <c r="H12">
        <v>30</v>
      </c>
      <c r="I12">
        <v>19</v>
      </c>
      <c r="J12">
        <v>10</v>
      </c>
      <c r="K12">
        <v>9</v>
      </c>
      <c r="L12">
        <v>4</v>
      </c>
      <c r="M12">
        <v>1</v>
      </c>
      <c r="N12">
        <v>0</v>
      </c>
    </row>
    <row r="13" spans="1:14" x14ac:dyDescent="0.25">
      <c r="A13" t="s">
        <v>25</v>
      </c>
      <c r="B13">
        <v>27</v>
      </c>
      <c r="C13">
        <v>43.35</v>
      </c>
      <c r="D13">
        <v>82.2</v>
      </c>
      <c r="E13">
        <v>99.95</v>
      </c>
      <c r="F13">
        <v>2</v>
      </c>
      <c r="G13">
        <v>5</v>
      </c>
      <c r="H13">
        <v>3</v>
      </c>
      <c r="I13">
        <v>3</v>
      </c>
      <c r="J13">
        <v>7</v>
      </c>
      <c r="K13">
        <v>5</v>
      </c>
      <c r="L13">
        <v>2</v>
      </c>
      <c r="M13">
        <v>0</v>
      </c>
      <c r="N13">
        <v>0</v>
      </c>
    </row>
    <row r="14" spans="1:14" x14ac:dyDescent="0.25">
      <c r="A14" t="s">
        <v>26</v>
      </c>
      <c r="B14">
        <v>1</v>
      </c>
      <c r="C14">
        <v>386.4</v>
      </c>
      <c r="D14">
        <v>386.4</v>
      </c>
      <c r="E14">
        <v>386.4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</row>
    <row r="15" spans="1:14" x14ac:dyDescent="0.25">
      <c r="A15" t="s">
        <v>27</v>
      </c>
      <c r="B15">
        <v>30</v>
      </c>
      <c r="C15">
        <v>63.25</v>
      </c>
      <c r="D15">
        <v>77.25</v>
      </c>
      <c r="E15">
        <v>112.9</v>
      </c>
      <c r="F15">
        <v>0</v>
      </c>
      <c r="G15">
        <v>2</v>
      </c>
      <c r="H15">
        <v>5</v>
      </c>
      <c r="I15">
        <v>10</v>
      </c>
      <c r="J15">
        <v>4</v>
      </c>
      <c r="K15">
        <v>6</v>
      </c>
      <c r="L15">
        <v>3</v>
      </c>
      <c r="M15">
        <v>0</v>
      </c>
      <c r="N15">
        <v>0</v>
      </c>
    </row>
    <row r="16" spans="1:14" x14ac:dyDescent="0.25">
      <c r="A16" t="s">
        <v>28</v>
      </c>
      <c r="B16">
        <v>52</v>
      </c>
      <c r="C16">
        <v>96.224999999999994</v>
      </c>
      <c r="D16">
        <v>122.7</v>
      </c>
      <c r="E16">
        <v>141.42500000000001</v>
      </c>
      <c r="F16">
        <v>0</v>
      </c>
      <c r="G16">
        <v>1</v>
      </c>
      <c r="H16">
        <v>1</v>
      </c>
      <c r="I16">
        <v>3</v>
      </c>
      <c r="J16">
        <v>11</v>
      </c>
      <c r="K16">
        <v>25</v>
      </c>
      <c r="L16">
        <v>9</v>
      </c>
      <c r="M16">
        <v>2</v>
      </c>
      <c r="N16">
        <v>0</v>
      </c>
    </row>
    <row r="17" spans="1:14" x14ac:dyDescent="0.25">
      <c r="A17" t="s">
        <v>29</v>
      </c>
      <c r="B17">
        <v>74</v>
      </c>
      <c r="C17">
        <v>76.974999999999994</v>
      </c>
      <c r="D17">
        <v>117.2</v>
      </c>
      <c r="E17">
        <v>167.35</v>
      </c>
      <c r="F17">
        <v>2</v>
      </c>
      <c r="G17">
        <v>3</v>
      </c>
      <c r="H17">
        <v>9</v>
      </c>
      <c r="I17">
        <v>7</v>
      </c>
      <c r="J17">
        <v>6</v>
      </c>
      <c r="K17">
        <v>23</v>
      </c>
      <c r="L17">
        <v>20</v>
      </c>
      <c r="M17">
        <v>2</v>
      </c>
      <c r="N17">
        <v>2</v>
      </c>
    </row>
    <row r="18" spans="1:14" x14ac:dyDescent="0.25">
      <c r="A18" t="s">
        <v>30</v>
      </c>
      <c r="B18">
        <v>5</v>
      </c>
      <c r="C18">
        <v>12.2</v>
      </c>
      <c r="D18">
        <v>45.8</v>
      </c>
      <c r="E18">
        <v>89.3</v>
      </c>
      <c r="F18">
        <v>2</v>
      </c>
      <c r="G18">
        <v>0</v>
      </c>
      <c r="H18">
        <v>1</v>
      </c>
      <c r="I18">
        <v>0</v>
      </c>
      <c r="J18">
        <v>1</v>
      </c>
      <c r="K18">
        <v>0</v>
      </c>
      <c r="L18">
        <v>1</v>
      </c>
      <c r="M18">
        <v>0</v>
      </c>
      <c r="N18">
        <v>0</v>
      </c>
    </row>
    <row r="19" spans="1:14" x14ac:dyDescent="0.25">
      <c r="A19" t="s">
        <v>31</v>
      </c>
      <c r="B19">
        <v>9</v>
      </c>
      <c r="C19">
        <v>56.5</v>
      </c>
      <c r="D19">
        <v>91.8</v>
      </c>
      <c r="E19">
        <v>218.7</v>
      </c>
      <c r="F19">
        <v>0</v>
      </c>
      <c r="G19">
        <v>2</v>
      </c>
      <c r="H19">
        <v>1</v>
      </c>
      <c r="I19">
        <v>0</v>
      </c>
      <c r="J19">
        <v>2</v>
      </c>
      <c r="K19">
        <v>0</v>
      </c>
      <c r="L19">
        <v>2</v>
      </c>
      <c r="M19">
        <v>0</v>
      </c>
      <c r="N19">
        <v>2</v>
      </c>
    </row>
    <row r="20" spans="1:14" x14ac:dyDescent="0.25">
      <c r="A20" t="s">
        <v>32</v>
      </c>
      <c r="B20">
        <v>99</v>
      </c>
      <c r="C20">
        <v>118.05</v>
      </c>
      <c r="D20">
        <v>214.4</v>
      </c>
      <c r="E20">
        <v>321.7</v>
      </c>
      <c r="F20">
        <v>8</v>
      </c>
      <c r="G20">
        <v>2</v>
      </c>
      <c r="H20">
        <v>2</v>
      </c>
      <c r="I20">
        <v>3</v>
      </c>
      <c r="J20">
        <v>3</v>
      </c>
      <c r="K20">
        <v>13</v>
      </c>
      <c r="L20">
        <v>28</v>
      </c>
      <c r="M20">
        <v>31</v>
      </c>
      <c r="N20">
        <v>8</v>
      </c>
    </row>
    <row r="21" spans="1:14" x14ac:dyDescent="0.25">
      <c r="A21" t="s">
        <v>33</v>
      </c>
      <c r="B21">
        <v>557</v>
      </c>
      <c r="C21">
        <v>64.7</v>
      </c>
      <c r="D21">
        <v>87.8</v>
      </c>
      <c r="E21">
        <v>110.8</v>
      </c>
      <c r="F21">
        <v>10</v>
      </c>
      <c r="G21">
        <v>33</v>
      </c>
      <c r="H21">
        <v>58</v>
      </c>
      <c r="I21">
        <v>138</v>
      </c>
      <c r="J21">
        <v>122</v>
      </c>
      <c r="K21">
        <v>141</v>
      </c>
      <c r="L21">
        <v>40</v>
      </c>
      <c r="M21">
        <v>8</v>
      </c>
      <c r="N21">
        <v>4</v>
      </c>
    </row>
    <row r="22" spans="1:14" x14ac:dyDescent="0.25">
      <c r="A22" t="s">
        <v>34</v>
      </c>
      <c r="B22">
        <v>3</v>
      </c>
      <c r="C22">
        <v>164.1</v>
      </c>
      <c r="D22">
        <v>230.6</v>
      </c>
      <c r="E22">
        <v>266.3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1</v>
      </c>
      <c r="M22">
        <v>1</v>
      </c>
      <c r="N22">
        <v>0</v>
      </c>
    </row>
    <row r="23" spans="1:14" x14ac:dyDescent="0.25">
      <c r="A23" t="s">
        <v>35</v>
      </c>
      <c r="B23">
        <v>1</v>
      </c>
      <c r="C23">
        <v>100.5</v>
      </c>
      <c r="D23">
        <v>100.5</v>
      </c>
      <c r="E23">
        <v>100.5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M23">
        <v>0</v>
      </c>
      <c r="N23">
        <v>0</v>
      </c>
    </row>
    <row r="24" spans="1:14" x14ac:dyDescent="0.25">
      <c r="A24" t="s">
        <v>36</v>
      </c>
      <c r="B24">
        <v>2</v>
      </c>
      <c r="C24">
        <v>112.65</v>
      </c>
      <c r="D24">
        <v>124.2</v>
      </c>
      <c r="E24">
        <v>135.75</v>
      </c>
      <c r="F24">
        <v>0</v>
      </c>
      <c r="G24">
        <v>0</v>
      </c>
      <c r="H24">
        <v>0</v>
      </c>
      <c r="I24">
        <v>0</v>
      </c>
      <c r="J24">
        <v>0</v>
      </c>
      <c r="K24">
        <v>2</v>
      </c>
      <c r="L24">
        <v>0</v>
      </c>
      <c r="M24">
        <v>0</v>
      </c>
      <c r="N24">
        <v>0</v>
      </c>
    </row>
    <row r="25" spans="1:14" x14ac:dyDescent="0.25">
      <c r="A25" t="s">
        <v>37</v>
      </c>
      <c r="B25">
        <v>1793</v>
      </c>
      <c r="C25">
        <v>51.9</v>
      </c>
      <c r="D25">
        <v>64.3</v>
      </c>
      <c r="E25">
        <v>78</v>
      </c>
      <c r="F25">
        <v>43</v>
      </c>
      <c r="G25">
        <v>111</v>
      </c>
      <c r="H25">
        <v>576</v>
      </c>
      <c r="I25">
        <v>666</v>
      </c>
      <c r="J25">
        <v>240</v>
      </c>
      <c r="K25">
        <v>130</v>
      </c>
      <c r="L25">
        <v>25</v>
      </c>
      <c r="M25">
        <v>2</v>
      </c>
      <c r="N25">
        <v>0</v>
      </c>
    </row>
    <row r="26" spans="1:14" x14ac:dyDescent="0.25">
      <c r="A26" t="s">
        <v>38</v>
      </c>
      <c r="B26">
        <v>23</v>
      </c>
      <c r="C26">
        <v>194.85</v>
      </c>
      <c r="D26">
        <v>312.60000000000002</v>
      </c>
      <c r="E26">
        <v>368.3</v>
      </c>
      <c r="F26">
        <v>2</v>
      </c>
      <c r="G26">
        <v>0</v>
      </c>
      <c r="H26">
        <v>1</v>
      </c>
      <c r="I26">
        <v>0</v>
      </c>
      <c r="J26">
        <v>0</v>
      </c>
      <c r="K26">
        <v>1</v>
      </c>
      <c r="L26">
        <v>4</v>
      </c>
      <c r="M26">
        <v>11</v>
      </c>
      <c r="N26">
        <v>4</v>
      </c>
    </row>
    <row r="27" spans="1:14" x14ac:dyDescent="0.25">
      <c r="A27" t="s">
        <v>39</v>
      </c>
      <c r="B27">
        <v>94</v>
      </c>
      <c r="C27">
        <v>65.975000000000009</v>
      </c>
      <c r="D27">
        <v>83.550000000000011</v>
      </c>
      <c r="E27">
        <v>100.45</v>
      </c>
      <c r="F27">
        <v>3</v>
      </c>
      <c r="G27">
        <v>3</v>
      </c>
      <c r="H27">
        <v>12</v>
      </c>
      <c r="I27">
        <v>26</v>
      </c>
      <c r="J27">
        <v>24</v>
      </c>
      <c r="K27">
        <v>17</v>
      </c>
      <c r="L27">
        <v>5</v>
      </c>
      <c r="M27">
        <v>3</v>
      </c>
      <c r="N27">
        <v>0</v>
      </c>
    </row>
    <row r="28" spans="1:14" x14ac:dyDescent="0.25">
      <c r="A28" t="s">
        <v>40</v>
      </c>
      <c r="B28">
        <v>2</v>
      </c>
      <c r="C28">
        <v>19.625</v>
      </c>
      <c r="D28">
        <v>34.150000000000013</v>
      </c>
      <c r="E28">
        <v>48.674999999999997</v>
      </c>
      <c r="F28">
        <v>1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25">
      <c r="A29" t="s">
        <v>41</v>
      </c>
      <c r="B29">
        <v>348</v>
      </c>
      <c r="C29">
        <v>24.725000000000001</v>
      </c>
      <c r="D29">
        <v>42.8</v>
      </c>
      <c r="E29">
        <v>76</v>
      </c>
      <c r="F29">
        <v>64</v>
      </c>
      <c r="G29">
        <v>96</v>
      </c>
      <c r="H29">
        <v>69</v>
      </c>
      <c r="I29">
        <v>35</v>
      </c>
      <c r="J29">
        <v>20</v>
      </c>
      <c r="K29">
        <v>23</v>
      </c>
      <c r="L29">
        <v>12</v>
      </c>
      <c r="M29">
        <v>18</v>
      </c>
      <c r="N29">
        <v>8</v>
      </c>
    </row>
    <row r="30" spans="1:14" x14ac:dyDescent="0.25">
      <c r="A30" t="s">
        <v>42</v>
      </c>
      <c r="B30">
        <v>102</v>
      </c>
      <c r="C30">
        <v>65.849999999999994</v>
      </c>
      <c r="D30">
        <v>92.45</v>
      </c>
      <c r="E30">
        <v>129.35</v>
      </c>
      <c r="F30">
        <v>6</v>
      </c>
      <c r="G30">
        <v>8</v>
      </c>
      <c r="H30">
        <v>5</v>
      </c>
      <c r="I30">
        <v>17</v>
      </c>
      <c r="J30">
        <v>24</v>
      </c>
      <c r="K30">
        <v>20</v>
      </c>
      <c r="L30">
        <v>11</v>
      </c>
      <c r="M30">
        <v>6</v>
      </c>
      <c r="N30">
        <v>4</v>
      </c>
    </row>
    <row r="31" spans="1:14" x14ac:dyDescent="0.25">
      <c r="A31" t="s">
        <v>43</v>
      </c>
      <c r="B31">
        <v>202</v>
      </c>
      <c r="C31">
        <v>46.45</v>
      </c>
      <c r="D31">
        <v>69.099999999999994</v>
      </c>
      <c r="E31">
        <v>104.95</v>
      </c>
      <c r="F31">
        <v>7</v>
      </c>
      <c r="G31">
        <v>32</v>
      </c>
      <c r="H31">
        <v>40</v>
      </c>
      <c r="I31">
        <v>39</v>
      </c>
      <c r="J31">
        <v>28</v>
      </c>
      <c r="K31">
        <v>33</v>
      </c>
      <c r="L31">
        <v>15</v>
      </c>
      <c r="M31">
        <v>8</v>
      </c>
      <c r="N31">
        <v>0</v>
      </c>
    </row>
    <row r="32" spans="1:14" x14ac:dyDescent="0.25">
      <c r="A32" t="s">
        <v>44</v>
      </c>
      <c r="B32">
        <v>23</v>
      </c>
      <c r="C32">
        <v>38.200000000000003</v>
      </c>
      <c r="D32">
        <v>70.099999999999994</v>
      </c>
      <c r="E32">
        <v>83</v>
      </c>
      <c r="F32">
        <v>2</v>
      </c>
      <c r="G32">
        <v>4</v>
      </c>
      <c r="H32">
        <v>3</v>
      </c>
      <c r="I32">
        <v>6</v>
      </c>
      <c r="J32">
        <v>5</v>
      </c>
      <c r="K32">
        <v>2</v>
      </c>
      <c r="L32">
        <v>1</v>
      </c>
      <c r="M32">
        <v>0</v>
      </c>
      <c r="N32">
        <v>0</v>
      </c>
    </row>
    <row r="33" spans="1:14" x14ac:dyDescent="0.25">
      <c r="A33" t="s">
        <v>45</v>
      </c>
      <c r="B33">
        <v>18421</v>
      </c>
      <c r="C33">
        <v>60.2</v>
      </c>
      <c r="D33">
        <v>78.2</v>
      </c>
      <c r="E33">
        <v>96.7</v>
      </c>
      <c r="F33">
        <v>881</v>
      </c>
      <c r="G33">
        <v>1302</v>
      </c>
      <c r="H33">
        <v>2381</v>
      </c>
      <c r="I33">
        <v>5162</v>
      </c>
      <c r="J33">
        <v>4689</v>
      </c>
      <c r="K33">
        <v>3432</v>
      </c>
      <c r="L33">
        <v>478</v>
      </c>
      <c r="M33">
        <v>67</v>
      </c>
      <c r="N33">
        <v>22</v>
      </c>
    </row>
    <row r="34" spans="1:14" x14ac:dyDescent="0.25">
      <c r="A34" t="s">
        <v>46</v>
      </c>
      <c r="B34">
        <v>40</v>
      </c>
      <c r="C34">
        <v>51.975000000000001</v>
      </c>
      <c r="D34">
        <v>96.6</v>
      </c>
      <c r="E34">
        <v>143.625</v>
      </c>
      <c r="F34">
        <v>2</v>
      </c>
      <c r="G34">
        <v>4</v>
      </c>
      <c r="H34">
        <v>7</v>
      </c>
      <c r="I34">
        <v>5</v>
      </c>
      <c r="J34">
        <v>3</v>
      </c>
      <c r="K34">
        <v>9</v>
      </c>
      <c r="L34">
        <v>7</v>
      </c>
      <c r="M34">
        <v>1</v>
      </c>
      <c r="N34">
        <v>2</v>
      </c>
    </row>
    <row r="35" spans="1:14" x14ac:dyDescent="0.25">
      <c r="A35" t="s">
        <v>47</v>
      </c>
      <c r="B35">
        <v>419</v>
      </c>
      <c r="C35">
        <v>16.95</v>
      </c>
      <c r="D35">
        <v>33.6</v>
      </c>
      <c r="E35">
        <v>59.599999999999987</v>
      </c>
      <c r="F35">
        <v>123</v>
      </c>
      <c r="G35">
        <v>120</v>
      </c>
      <c r="H35">
        <v>69</v>
      </c>
      <c r="I35">
        <v>48</v>
      </c>
      <c r="J35">
        <v>27</v>
      </c>
      <c r="K35">
        <v>18</v>
      </c>
      <c r="L35">
        <v>5</v>
      </c>
      <c r="M35">
        <v>2</v>
      </c>
      <c r="N35">
        <v>2</v>
      </c>
    </row>
    <row r="36" spans="1:14" x14ac:dyDescent="0.25">
      <c r="A36" t="s">
        <v>48</v>
      </c>
      <c r="B36">
        <v>2302</v>
      </c>
      <c r="C36">
        <v>44.225000000000001</v>
      </c>
      <c r="D36">
        <v>59.95</v>
      </c>
      <c r="E36">
        <v>80.400000000000006</v>
      </c>
      <c r="F36">
        <v>124</v>
      </c>
      <c r="G36">
        <v>337</v>
      </c>
      <c r="H36">
        <v>688</v>
      </c>
      <c r="I36">
        <v>565</v>
      </c>
      <c r="J36">
        <v>295</v>
      </c>
      <c r="K36">
        <v>197</v>
      </c>
      <c r="L36">
        <v>60</v>
      </c>
      <c r="M36">
        <v>21</v>
      </c>
      <c r="N36">
        <v>10</v>
      </c>
    </row>
    <row r="37" spans="1:14" x14ac:dyDescent="0.25">
      <c r="A37" t="s">
        <v>49</v>
      </c>
      <c r="B37">
        <v>44</v>
      </c>
      <c r="C37">
        <v>52.95</v>
      </c>
      <c r="D37">
        <v>97.35</v>
      </c>
      <c r="E37">
        <v>298.875</v>
      </c>
      <c r="F37">
        <v>4</v>
      </c>
      <c r="G37">
        <v>6</v>
      </c>
      <c r="H37">
        <v>2</v>
      </c>
      <c r="I37">
        <v>7</v>
      </c>
      <c r="J37">
        <v>4</v>
      </c>
      <c r="K37">
        <v>2</v>
      </c>
      <c r="L37">
        <v>7</v>
      </c>
      <c r="M37">
        <v>7</v>
      </c>
      <c r="N37">
        <v>5</v>
      </c>
    </row>
    <row r="38" spans="1:14" x14ac:dyDescent="0.25">
      <c r="A38" t="s">
        <v>50</v>
      </c>
      <c r="B38">
        <v>10</v>
      </c>
      <c r="C38">
        <v>74.05</v>
      </c>
      <c r="D38">
        <v>89.65</v>
      </c>
      <c r="E38">
        <v>118.52500000000001</v>
      </c>
      <c r="F38">
        <v>0</v>
      </c>
      <c r="G38">
        <v>1</v>
      </c>
      <c r="H38">
        <v>1</v>
      </c>
      <c r="I38">
        <v>3</v>
      </c>
      <c r="J38">
        <v>0</v>
      </c>
      <c r="K38">
        <v>3</v>
      </c>
      <c r="L38">
        <v>2</v>
      </c>
      <c r="M38">
        <v>0</v>
      </c>
      <c r="N38">
        <v>0</v>
      </c>
    </row>
    <row r="39" spans="1:14" x14ac:dyDescent="0.25">
      <c r="A39" t="s">
        <v>51</v>
      </c>
      <c r="B39">
        <v>26</v>
      </c>
      <c r="C39">
        <v>36.700000000000003</v>
      </c>
      <c r="D39">
        <v>72.849999999999994</v>
      </c>
      <c r="E39">
        <v>193.375</v>
      </c>
      <c r="F39">
        <v>2</v>
      </c>
      <c r="G39">
        <v>6</v>
      </c>
      <c r="H39">
        <v>2</v>
      </c>
      <c r="I39">
        <v>4</v>
      </c>
      <c r="J39">
        <v>1</v>
      </c>
      <c r="K39">
        <v>1</v>
      </c>
      <c r="L39">
        <v>5</v>
      </c>
      <c r="M39">
        <v>2</v>
      </c>
      <c r="N39">
        <v>3</v>
      </c>
    </row>
    <row r="40" spans="1:14" x14ac:dyDescent="0.25">
      <c r="A40" t="s">
        <v>52</v>
      </c>
      <c r="B40">
        <v>107</v>
      </c>
      <c r="C40">
        <v>72.5</v>
      </c>
      <c r="D40">
        <v>103.5</v>
      </c>
      <c r="E40">
        <v>142.6</v>
      </c>
      <c r="F40">
        <v>2</v>
      </c>
      <c r="G40">
        <v>6</v>
      </c>
      <c r="H40">
        <v>8</v>
      </c>
      <c r="I40">
        <v>15</v>
      </c>
      <c r="J40">
        <v>19</v>
      </c>
      <c r="K40">
        <v>33</v>
      </c>
      <c r="L40">
        <v>20</v>
      </c>
      <c r="M40">
        <v>3</v>
      </c>
      <c r="N40">
        <v>1</v>
      </c>
    </row>
    <row r="41" spans="1:14" x14ac:dyDescent="0.25">
      <c r="A41" t="s">
        <v>53</v>
      </c>
      <c r="B41">
        <v>12</v>
      </c>
      <c r="C41">
        <v>55.5</v>
      </c>
      <c r="D41">
        <v>84.9</v>
      </c>
      <c r="E41">
        <v>127.25</v>
      </c>
      <c r="F41">
        <v>0</v>
      </c>
      <c r="G41">
        <v>1</v>
      </c>
      <c r="H41">
        <v>3</v>
      </c>
      <c r="I41">
        <v>1</v>
      </c>
      <c r="J41">
        <v>3</v>
      </c>
      <c r="K41">
        <v>1</v>
      </c>
      <c r="L41">
        <v>2</v>
      </c>
      <c r="M41">
        <v>1</v>
      </c>
      <c r="N41">
        <v>0</v>
      </c>
    </row>
    <row r="42" spans="1:14" x14ac:dyDescent="0.25">
      <c r="A42" t="s">
        <v>54</v>
      </c>
      <c r="B42">
        <v>19</v>
      </c>
      <c r="C42">
        <v>50.95</v>
      </c>
      <c r="D42">
        <v>108.3</v>
      </c>
      <c r="E42">
        <v>162.80000000000001</v>
      </c>
      <c r="F42">
        <v>1</v>
      </c>
      <c r="G42">
        <v>2</v>
      </c>
      <c r="H42">
        <v>3</v>
      </c>
      <c r="I42">
        <v>1</v>
      </c>
      <c r="J42">
        <v>1</v>
      </c>
      <c r="K42">
        <v>5</v>
      </c>
      <c r="L42">
        <v>3</v>
      </c>
      <c r="M42">
        <v>3</v>
      </c>
      <c r="N42">
        <v>0</v>
      </c>
    </row>
    <row r="43" spans="1:14" x14ac:dyDescent="0.25">
      <c r="A43" t="s">
        <v>55</v>
      </c>
      <c r="B43">
        <v>209</v>
      </c>
      <c r="C43">
        <v>51.7</v>
      </c>
      <c r="D43">
        <v>147.1</v>
      </c>
      <c r="E43">
        <v>261.7</v>
      </c>
      <c r="F43">
        <v>26</v>
      </c>
      <c r="G43">
        <v>19</v>
      </c>
      <c r="H43">
        <v>11</v>
      </c>
      <c r="I43">
        <v>15</v>
      </c>
      <c r="J43">
        <v>8</v>
      </c>
      <c r="K43">
        <v>27</v>
      </c>
      <c r="L43">
        <v>45</v>
      </c>
      <c r="M43">
        <v>47</v>
      </c>
      <c r="N43">
        <v>10</v>
      </c>
    </row>
    <row r="44" spans="1:14" x14ac:dyDescent="0.25">
      <c r="A44" t="s">
        <v>56</v>
      </c>
      <c r="B44">
        <v>3</v>
      </c>
      <c r="C44">
        <v>111.5</v>
      </c>
      <c r="D44">
        <v>153.80000000000001</v>
      </c>
      <c r="E44">
        <v>290.45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1</v>
      </c>
      <c r="N44">
        <v>0</v>
      </c>
    </row>
    <row r="45" spans="1:14" x14ac:dyDescent="0.25">
      <c r="A45" t="s">
        <v>57</v>
      </c>
      <c r="B45">
        <v>3</v>
      </c>
      <c r="C45">
        <v>56.849999999999987</v>
      </c>
      <c r="D45">
        <v>106.1</v>
      </c>
      <c r="E45">
        <v>824.4</v>
      </c>
      <c r="F45">
        <v>1</v>
      </c>
      <c r="G45">
        <v>0</v>
      </c>
      <c r="H45">
        <v>0</v>
      </c>
      <c r="I45">
        <v>0</v>
      </c>
      <c r="J45">
        <v>0</v>
      </c>
      <c r="K45">
        <v>1</v>
      </c>
      <c r="L45">
        <v>0</v>
      </c>
      <c r="M45">
        <v>0</v>
      </c>
      <c r="N45">
        <v>1</v>
      </c>
    </row>
    <row r="46" spans="1:14" x14ac:dyDescent="0.25">
      <c r="A46" t="s">
        <v>58</v>
      </c>
      <c r="B46">
        <v>21</v>
      </c>
      <c r="C46">
        <v>117</v>
      </c>
      <c r="D46">
        <v>195.3</v>
      </c>
      <c r="E46">
        <v>246.9</v>
      </c>
      <c r="F46">
        <v>0</v>
      </c>
      <c r="G46">
        <v>1</v>
      </c>
      <c r="H46">
        <v>1</v>
      </c>
      <c r="I46">
        <v>1</v>
      </c>
      <c r="J46">
        <v>1</v>
      </c>
      <c r="K46">
        <v>5</v>
      </c>
      <c r="L46">
        <v>7</v>
      </c>
      <c r="M46">
        <v>5</v>
      </c>
      <c r="N46">
        <v>0</v>
      </c>
    </row>
    <row r="47" spans="1:14" x14ac:dyDescent="0.25">
      <c r="A47" t="s">
        <v>59</v>
      </c>
      <c r="B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x14ac:dyDescent="0.25">
      <c r="A48" t="s">
        <v>60</v>
      </c>
      <c r="B48">
        <v>56</v>
      </c>
      <c r="C48">
        <v>179.9</v>
      </c>
      <c r="D48">
        <v>234.7</v>
      </c>
      <c r="E48">
        <v>273.7</v>
      </c>
      <c r="F48">
        <v>0</v>
      </c>
      <c r="G48">
        <v>0</v>
      </c>
      <c r="H48">
        <v>0</v>
      </c>
      <c r="I48">
        <v>1</v>
      </c>
      <c r="J48">
        <v>0</v>
      </c>
      <c r="K48">
        <v>6</v>
      </c>
      <c r="L48">
        <v>27</v>
      </c>
      <c r="M48">
        <v>22</v>
      </c>
      <c r="N48">
        <v>0</v>
      </c>
    </row>
    <row r="49" spans="1:14" x14ac:dyDescent="0.25">
      <c r="A49" t="s">
        <v>61</v>
      </c>
      <c r="B49">
        <v>4</v>
      </c>
      <c r="C49">
        <v>41.924999999999997</v>
      </c>
      <c r="D49">
        <v>240.5</v>
      </c>
      <c r="E49">
        <v>1488.5</v>
      </c>
      <c r="F49">
        <v>0</v>
      </c>
      <c r="G49">
        <v>1</v>
      </c>
      <c r="H49">
        <v>1</v>
      </c>
      <c r="I49">
        <v>0</v>
      </c>
      <c r="J49">
        <v>0</v>
      </c>
      <c r="K49">
        <v>0</v>
      </c>
      <c r="L49">
        <v>0</v>
      </c>
      <c r="M49">
        <v>1</v>
      </c>
      <c r="N49">
        <v>1</v>
      </c>
    </row>
    <row r="50" spans="1:14" x14ac:dyDescent="0.25">
      <c r="A50" t="s">
        <v>62</v>
      </c>
      <c r="B50">
        <v>21</v>
      </c>
      <c r="C50">
        <v>54.4</v>
      </c>
      <c r="D50">
        <v>85.5</v>
      </c>
      <c r="E50">
        <v>151.30000000000001</v>
      </c>
      <c r="F50">
        <v>1</v>
      </c>
      <c r="G50">
        <v>3</v>
      </c>
      <c r="H50">
        <v>2</v>
      </c>
      <c r="I50">
        <v>4</v>
      </c>
      <c r="J50">
        <v>2</v>
      </c>
      <c r="K50">
        <v>2</v>
      </c>
      <c r="L50">
        <v>6</v>
      </c>
      <c r="M50">
        <v>1</v>
      </c>
      <c r="N50">
        <v>0</v>
      </c>
    </row>
    <row r="51" spans="1:14" x14ac:dyDescent="0.25">
      <c r="A51" t="s">
        <v>63</v>
      </c>
      <c r="B51">
        <v>142</v>
      </c>
      <c r="C51">
        <v>6.7249999999999996</v>
      </c>
      <c r="D51">
        <v>10.45</v>
      </c>
      <c r="E51">
        <v>22.074999999999999</v>
      </c>
      <c r="F51">
        <v>103</v>
      </c>
      <c r="G51">
        <v>12</v>
      </c>
      <c r="H51">
        <v>6</v>
      </c>
      <c r="I51">
        <v>1</v>
      </c>
      <c r="J51">
        <v>6</v>
      </c>
      <c r="K51">
        <v>6</v>
      </c>
      <c r="L51">
        <v>4</v>
      </c>
      <c r="M51">
        <v>1</v>
      </c>
      <c r="N51">
        <v>3</v>
      </c>
    </row>
    <row r="52" spans="1:14" x14ac:dyDescent="0.25">
      <c r="A52" t="s">
        <v>64</v>
      </c>
      <c r="B52">
        <v>66</v>
      </c>
      <c r="C52">
        <v>36.25</v>
      </c>
      <c r="D52">
        <v>68.699999999999989</v>
      </c>
      <c r="E52">
        <v>96.4</v>
      </c>
      <c r="F52">
        <v>8</v>
      </c>
      <c r="G52">
        <v>11</v>
      </c>
      <c r="H52">
        <v>10</v>
      </c>
      <c r="I52">
        <v>13</v>
      </c>
      <c r="J52">
        <v>9</v>
      </c>
      <c r="K52">
        <v>9</v>
      </c>
      <c r="L52">
        <v>4</v>
      </c>
      <c r="M52">
        <v>1</v>
      </c>
      <c r="N52">
        <v>1</v>
      </c>
    </row>
    <row r="53" spans="1:14" x14ac:dyDescent="0.25">
      <c r="A53" t="s">
        <v>65</v>
      </c>
      <c r="B53">
        <v>1</v>
      </c>
      <c r="C53">
        <v>145.80000000000001</v>
      </c>
      <c r="D53">
        <v>145.80000000000001</v>
      </c>
      <c r="E53">
        <v>145.80000000000001</v>
      </c>
      <c r="F53">
        <v>0</v>
      </c>
      <c r="G53">
        <v>0</v>
      </c>
      <c r="H53">
        <v>0</v>
      </c>
      <c r="I53">
        <v>0</v>
      </c>
      <c r="J53">
        <v>0</v>
      </c>
      <c r="K53">
        <v>1</v>
      </c>
      <c r="L53">
        <v>0</v>
      </c>
      <c r="M53">
        <v>0</v>
      </c>
      <c r="N53">
        <v>0</v>
      </c>
    </row>
    <row r="54" spans="1:14" x14ac:dyDescent="0.25">
      <c r="A54" t="s">
        <v>66</v>
      </c>
      <c r="B54">
        <v>136</v>
      </c>
      <c r="C54">
        <v>43.1</v>
      </c>
      <c r="D54">
        <v>53.9</v>
      </c>
      <c r="E54">
        <v>67.724999999999994</v>
      </c>
      <c r="F54">
        <v>3</v>
      </c>
      <c r="G54">
        <v>19</v>
      </c>
      <c r="H54">
        <v>58</v>
      </c>
      <c r="I54">
        <v>31</v>
      </c>
      <c r="J54">
        <v>13</v>
      </c>
      <c r="K54">
        <v>9</v>
      </c>
      <c r="L54">
        <v>2</v>
      </c>
      <c r="M54">
        <v>1</v>
      </c>
      <c r="N54">
        <v>0</v>
      </c>
    </row>
    <row r="55" spans="1:14" x14ac:dyDescent="0.25">
      <c r="A55" t="s">
        <v>67</v>
      </c>
      <c r="B55">
        <v>31</v>
      </c>
      <c r="C55">
        <v>29</v>
      </c>
      <c r="D55">
        <v>57.5</v>
      </c>
      <c r="E55">
        <v>91.05</v>
      </c>
      <c r="F55">
        <v>6</v>
      </c>
      <c r="G55">
        <v>3</v>
      </c>
      <c r="H55">
        <v>7</v>
      </c>
      <c r="I55">
        <v>5</v>
      </c>
      <c r="J55">
        <v>3</v>
      </c>
      <c r="K55">
        <v>5</v>
      </c>
      <c r="L55">
        <v>1</v>
      </c>
      <c r="M55">
        <v>1</v>
      </c>
      <c r="N55">
        <v>0</v>
      </c>
    </row>
    <row r="56" spans="1:14" x14ac:dyDescent="0.25">
      <c r="A56" t="s">
        <v>68</v>
      </c>
      <c r="B56">
        <v>132</v>
      </c>
      <c r="C56">
        <v>65.7</v>
      </c>
      <c r="D56">
        <v>114.4</v>
      </c>
      <c r="E56">
        <v>173.95</v>
      </c>
      <c r="F56">
        <v>6</v>
      </c>
      <c r="G56">
        <v>16</v>
      </c>
      <c r="H56">
        <v>8</v>
      </c>
      <c r="I56">
        <v>15</v>
      </c>
      <c r="J56">
        <v>9</v>
      </c>
      <c r="K56">
        <v>34</v>
      </c>
      <c r="L56">
        <v>31</v>
      </c>
      <c r="M56">
        <v>10</v>
      </c>
      <c r="N56">
        <v>2</v>
      </c>
    </row>
    <row r="57" spans="1:14" x14ac:dyDescent="0.25">
      <c r="A57" t="s">
        <v>69</v>
      </c>
      <c r="B57">
        <v>197</v>
      </c>
      <c r="C57">
        <v>33</v>
      </c>
      <c r="D57">
        <v>67.5</v>
      </c>
      <c r="E57">
        <v>88.9</v>
      </c>
      <c r="F57">
        <v>33</v>
      </c>
      <c r="G57">
        <v>22</v>
      </c>
      <c r="H57">
        <v>26</v>
      </c>
      <c r="I57">
        <v>39</v>
      </c>
      <c r="J57">
        <v>47</v>
      </c>
      <c r="K57">
        <v>22</v>
      </c>
      <c r="L57">
        <v>2</v>
      </c>
      <c r="M57">
        <v>3</v>
      </c>
      <c r="N57">
        <v>2</v>
      </c>
    </row>
    <row r="58" spans="1:14" x14ac:dyDescent="0.25">
      <c r="A58" t="s">
        <v>70</v>
      </c>
      <c r="B58">
        <v>119</v>
      </c>
      <c r="C58">
        <v>95.55</v>
      </c>
      <c r="D58">
        <v>123.3</v>
      </c>
      <c r="E58">
        <v>151.65</v>
      </c>
      <c r="F58">
        <v>0</v>
      </c>
      <c r="G58">
        <v>1</v>
      </c>
      <c r="H58">
        <v>6</v>
      </c>
      <c r="I58">
        <v>8</v>
      </c>
      <c r="J58">
        <v>18</v>
      </c>
      <c r="K58">
        <v>53</v>
      </c>
      <c r="L58">
        <v>28</v>
      </c>
      <c r="M58">
        <v>4</v>
      </c>
      <c r="N58">
        <v>0</v>
      </c>
    </row>
    <row r="59" spans="1:14" x14ac:dyDescent="0.25">
      <c r="A59" t="s">
        <v>71</v>
      </c>
      <c r="B59">
        <v>4</v>
      </c>
      <c r="C59">
        <v>131.15</v>
      </c>
      <c r="D59">
        <v>255</v>
      </c>
      <c r="E59">
        <v>370.95</v>
      </c>
      <c r="F59">
        <v>0</v>
      </c>
      <c r="G59">
        <v>0</v>
      </c>
      <c r="H59">
        <v>0</v>
      </c>
      <c r="I59">
        <v>1</v>
      </c>
      <c r="J59">
        <v>0</v>
      </c>
      <c r="K59">
        <v>0</v>
      </c>
      <c r="L59">
        <v>1</v>
      </c>
      <c r="M59">
        <v>2</v>
      </c>
      <c r="N59">
        <v>0</v>
      </c>
    </row>
    <row r="60" spans="1:14" x14ac:dyDescent="0.25">
      <c r="A60" t="s">
        <v>72</v>
      </c>
      <c r="B60">
        <v>287</v>
      </c>
      <c r="C60">
        <v>43.3</v>
      </c>
      <c r="D60">
        <v>65.2</v>
      </c>
      <c r="E60">
        <v>86.55</v>
      </c>
      <c r="F60">
        <v>21</v>
      </c>
      <c r="G60">
        <v>37</v>
      </c>
      <c r="H60">
        <v>71</v>
      </c>
      <c r="I60">
        <v>69</v>
      </c>
      <c r="J60">
        <v>39</v>
      </c>
      <c r="K60">
        <v>29</v>
      </c>
      <c r="L60">
        <v>11</v>
      </c>
      <c r="M60">
        <v>8</v>
      </c>
      <c r="N60">
        <v>1</v>
      </c>
    </row>
    <row r="61" spans="1:14" x14ac:dyDescent="0.25">
      <c r="A61" t="s">
        <v>73</v>
      </c>
      <c r="B61">
        <v>243</v>
      </c>
      <c r="C61">
        <v>10.15</v>
      </c>
      <c r="D61">
        <v>18.100000000000001</v>
      </c>
      <c r="E61">
        <v>29.05</v>
      </c>
      <c r="F61">
        <v>130</v>
      </c>
      <c r="G61">
        <v>79</v>
      </c>
      <c r="H61">
        <v>16</v>
      </c>
      <c r="I61">
        <v>7</v>
      </c>
      <c r="J61">
        <v>2</v>
      </c>
      <c r="K61">
        <v>1</v>
      </c>
      <c r="L61">
        <v>4</v>
      </c>
      <c r="M61">
        <v>0</v>
      </c>
      <c r="N61">
        <v>0</v>
      </c>
    </row>
    <row r="62" spans="1:14" x14ac:dyDescent="0.25">
      <c r="A62" t="s">
        <v>74</v>
      </c>
      <c r="B62">
        <v>127</v>
      </c>
      <c r="C62">
        <v>83.2</v>
      </c>
      <c r="D62">
        <v>113.3</v>
      </c>
      <c r="E62">
        <v>155.5</v>
      </c>
      <c r="F62">
        <v>3</v>
      </c>
      <c r="G62">
        <v>3</v>
      </c>
      <c r="H62">
        <v>6</v>
      </c>
      <c r="I62">
        <v>17</v>
      </c>
      <c r="J62">
        <v>18</v>
      </c>
      <c r="K62">
        <v>45</v>
      </c>
      <c r="L62">
        <v>29</v>
      </c>
      <c r="M62">
        <v>5</v>
      </c>
      <c r="N62">
        <v>0</v>
      </c>
    </row>
    <row r="63" spans="1:14" x14ac:dyDescent="0.25">
      <c r="A63" t="s">
        <v>75</v>
      </c>
      <c r="B63">
        <v>2</v>
      </c>
      <c r="C63">
        <v>82</v>
      </c>
      <c r="D63">
        <v>109.6</v>
      </c>
      <c r="E63">
        <v>137.19999999999999</v>
      </c>
      <c r="F63">
        <v>0</v>
      </c>
      <c r="G63">
        <v>0</v>
      </c>
      <c r="H63">
        <v>1</v>
      </c>
      <c r="I63">
        <v>0</v>
      </c>
      <c r="J63">
        <v>0</v>
      </c>
      <c r="K63">
        <v>0</v>
      </c>
      <c r="L63">
        <v>1</v>
      </c>
      <c r="M63">
        <v>0</v>
      </c>
      <c r="N63">
        <v>0</v>
      </c>
    </row>
    <row r="64" spans="1:14" x14ac:dyDescent="0.25">
      <c r="A64" t="s">
        <v>76</v>
      </c>
      <c r="B64">
        <v>50</v>
      </c>
      <c r="C64">
        <v>42.475000000000001</v>
      </c>
      <c r="D64">
        <v>82.4</v>
      </c>
      <c r="E64">
        <v>109</v>
      </c>
      <c r="F64">
        <v>5</v>
      </c>
      <c r="G64">
        <v>5</v>
      </c>
      <c r="H64">
        <v>7</v>
      </c>
      <c r="I64">
        <v>6</v>
      </c>
      <c r="J64">
        <v>9</v>
      </c>
      <c r="K64">
        <v>13</v>
      </c>
      <c r="L64">
        <v>4</v>
      </c>
      <c r="M64">
        <v>0</v>
      </c>
      <c r="N64">
        <v>0</v>
      </c>
    </row>
    <row r="65" spans="1:14" x14ac:dyDescent="0.25">
      <c r="A65" t="s">
        <v>77</v>
      </c>
      <c r="B65">
        <v>1</v>
      </c>
      <c r="C65">
        <v>81.7</v>
      </c>
      <c r="D65">
        <v>81.7</v>
      </c>
      <c r="E65">
        <v>81.7</v>
      </c>
      <c r="F65">
        <v>0</v>
      </c>
      <c r="G65">
        <v>0</v>
      </c>
      <c r="H65">
        <v>0</v>
      </c>
      <c r="I65">
        <v>0</v>
      </c>
      <c r="J65">
        <v>1</v>
      </c>
      <c r="K65">
        <v>0</v>
      </c>
      <c r="L65">
        <v>0</v>
      </c>
      <c r="M65">
        <v>0</v>
      </c>
      <c r="N65">
        <v>0</v>
      </c>
    </row>
    <row r="66" spans="1:14" x14ac:dyDescent="0.25">
      <c r="A66" t="s">
        <v>78</v>
      </c>
      <c r="B66">
        <v>91</v>
      </c>
      <c r="C66">
        <v>56.85</v>
      </c>
      <c r="D66">
        <v>103.6</v>
      </c>
      <c r="E66">
        <v>138.05000000000001</v>
      </c>
      <c r="F66">
        <v>1</v>
      </c>
      <c r="G66">
        <v>16</v>
      </c>
      <c r="H66">
        <v>8</v>
      </c>
      <c r="I66">
        <v>8</v>
      </c>
      <c r="J66">
        <v>9</v>
      </c>
      <c r="K66">
        <v>29</v>
      </c>
      <c r="L66">
        <v>12</v>
      </c>
      <c r="M66">
        <v>7</v>
      </c>
      <c r="N66">
        <v>0</v>
      </c>
    </row>
    <row r="67" spans="1:14" x14ac:dyDescent="0.25">
      <c r="A67" t="s">
        <v>79</v>
      </c>
      <c r="B67">
        <v>95</v>
      </c>
      <c r="C67">
        <v>167.8</v>
      </c>
      <c r="D67">
        <v>231.2</v>
      </c>
      <c r="E67">
        <v>277.8</v>
      </c>
      <c r="F67">
        <v>0</v>
      </c>
      <c r="G67">
        <v>2</v>
      </c>
      <c r="H67">
        <v>2</v>
      </c>
      <c r="I67">
        <v>1</v>
      </c>
      <c r="J67">
        <v>3</v>
      </c>
      <c r="K67">
        <v>10</v>
      </c>
      <c r="L67">
        <v>42</v>
      </c>
      <c r="M67">
        <v>31</v>
      </c>
      <c r="N67">
        <v>4</v>
      </c>
    </row>
    <row r="68" spans="1:14" x14ac:dyDescent="0.25">
      <c r="A68" t="s">
        <v>80</v>
      </c>
      <c r="B68">
        <v>9</v>
      </c>
      <c r="C68">
        <v>7.6</v>
      </c>
      <c r="D68">
        <v>17.399999999999999</v>
      </c>
      <c r="E68">
        <v>56.6</v>
      </c>
      <c r="F68">
        <v>5</v>
      </c>
      <c r="G68">
        <v>0</v>
      </c>
      <c r="H68">
        <v>2</v>
      </c>
      <c r="I68">
        <v>0</v>
      </c>
      <c r="J68">
        <v>0</v>
      </c>
      <c r="K68">
        <v>0</v>
      </c>
      <c r="L68">
        <v>2</v>
      </c>
      <c r="M68">
        <v>0</v>
      </c>
      <c r="N68">
        <v>0</v>
      </c>
    </row>
    <row r="69" spans="1:14" x14ac:dyDescent="0.25">
      <c r="A69" t="s">
        <v>81</v>
      </c>
      <c r="B69">
        <v>60</v>
      </c>
      <c r="C69">
        <v>91.800000000000011</v>
      </c>
      <c r="D69">
        <v>124.6</v>
      </c>
      <c r="E69">
        <v>190.7</v>
      </c>
      <c r="F69">
        <v>2</v>
      </c>
      <c r="G69">
        <v>2</v>
      </c>
      <c r="H69">
        <v>3</v>
      </c>
      <c r="I69">
        <v>6</v>
      </c>
      <c r="J69">
        <v>8</v>
      </c>
      <c r="K69">
        <v>17</v>
      </c>
      <c r="L69">
        <v>13</v>
      </c>
      <c r="M69">
        <v>8</v>
      </c>
      <c r="N69">
        <v>1</v>
      </c>
    </row>
    <row r="70" spans="1:14" x14ac:dyDescent="0.25">
      <c r="A70" t="s">
        <v>82</v>
      </c>
      <c r="B70">
        <v>4</v>
      </c>
      <c r="C70">
        <v>232.55</v>
      </c>
      <c r="D70">
        <v>241.9</v>
      </c>
      <c r="E70">
        <v>266.60000000000002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</v>
      </c>
      <c r="M70">
        <v>1</v>
      </c>
      <c r="N70">
        <v>0</v>
      </c>
    </row>
    <row r="71" spans="1:14" x14ac:dyDescent="0.25">
      <c r="A71" t="s">
        <v>83</v>
      </c>
      <c r="B71">
        <v>7</v>
      </c>
      <c r="C71">
        <v>57.7</v>
      </c>
      <c r="D71">
        <v>61.3</v>
      </c>
      <c r="E71">
        <v>119.05</v>
      </c>
      <c r="F71">
        <v>0</v>
      </c>
      <c r="G71">
        <v>0</v>
      </c>
      <c r="H71">
        <v>3</v>
      </c>
      <c r="I71">
        <v>1</v>
      </c>
      <c r="J71">
        <v>1</v>
      </c>
      <c r="K71">
        <v>0</v>
      </c>
      <c r="L71">
        <v>2</v>
      </c>
      <c r="M71">
        <v>0</v>
      </c>
      <c r="N71">
        <v>0</v>
      </c>
    </row>
    <row r="72" spans="1:14" x14ac:dyDescent="0.25">
      <c r="A72" t="s">
        <v>84</v>
      </c>
      <c r="B72">
        <v>14</v>
      </c>
      <c r="C72">
        <v>216.72499999999999</v>
      </c>
      <c r="D72">
        <v>275.95</v>
      </c>
      <c r="E72">
        <v>359.05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5</v>
      </c>
      <c r="M72">
        <v>6</v>
      </c>
      <c r="N72">
        <v>2</v>
      </c>
    </row>
    <row r="73" spans="1:14" x14ac:dyDescent="0.25">
      <c r="A73" t="s">
        <v>85</v>
      </c>
      <c r="B73">
        <v>12</v>
      </c>
      <c r="C73">
        <v>46.65</v>
      </c>
      <c r="D73">
        <v>73.05</v>
      </c>
      <c r="E73">
        <v>121.8</v>
      </c>
      <c r="F73">
        <v>1</v>
      </c>
      <c r="G73">
        <v>1</v>
      </c>
      <c r="H73">
        <v>3</v>
      </c>
      <c r="I73">
        <v>2</v>
      </c>
      <c r="J73">
        <v>0</v>
      </c>
      <c r="K73">
        <v>4</v>
      </c>
      <c r="L73">
        <v>1</v>
      </c>
      <c r="M73">
        <v>0</v>
      </c>
      <c r="N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4fe9914-c092-4200-a7d8-cc85a6bef288">
      <Terms xmlns="http://schemas.microsoft.com/office/infopath/2007/PartnerControls"/>
    </lcf76f155ced4ddcb4097134ff3c332f>
    <TaxCatchAll xmlns="afc29c3b-9522-4360-ba9d-c1dc5ac90a1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83132403D1464F8DDC272820BA8C1B" ma:contentTypeVersion="17" ma:contentTypeDescription="Create a new document." ma:contentTypeScope="" ma:versionID="6fe6f55e11da51139aa85f6a00701c7d">
  <xsd:schema xmlns:xsd="http://www.w3.org/2001/XMLSchema" xmlns:xs="http://www.w3.org/2001/XMLSchema" xmlns:p="http://schemas.microsoft.com/office/2006/metadata/properties" xmlns:ns2="d4fe9914-c092-4200-a7d8-cc85a6bef288" xmlns:ns3="afc29c3b-9522-4360-ba9d-c1dc5ac90a19" targetNamespace="http://schemas.microsoft.com/office/2006/metadata/properties" ma:root="true" ma:fieldsID="285f550d8d1fc9956465dc5fad4d328f" ns2:_="" ns3:_="">
    <xsd:import namespace="d4fe9914-c092-4200-a7d8-cc85a6bef288"/>
    <xsd:import namespace="afc29c3b-9522-4360-ba9d-c1dc5ac90a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fe9914-c092-4200-a7d8-cc85a6bef2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9be0bb2-3812-4b91-a213-01a8a1cc323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c29c3b-9522-4360-ba9d-c1dc5ac90a1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3bae1d6-1973-4eec-951a-e9b4547540f9}" ma:internalName="TaxCatchAll" ma:showField="CatchAllData" ma:web="afc29c3b-9522-4360-ba9d-c1dc5ac90a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2903E71-C9DB-4A68-8A9A-DA2967E40696}">
  <ds:schemaRefs>
    <ds:schemaRef ds:uri="http://schemas.microsoft.com/office/2006/metadata/properties"/>
    <ds:schemaRef ds:uri="http://schemas.microsoft.com/office/infopath/2007/PartnerControls"/>
    <ds:schemaRef ds:uri="d4fe9914-c092-4200-a7d8-cc85a6bef288"/>
    <ds:schemaRef ds:uri="afc29c3b-9522-4360-ba9d-c1dc5ac90a19"/>
  </ds:schemaRefs>
</ds:datastoreItem>
</file>

<file path=customXml/itemProps2.xml><?xml version="1.0" encoding="utf-8"?>
<ds:datastoreItem xmlns:ds="http://schemas.openxmlformats.org/officeDocument/2006/customXml" ds:itemID="{EA051B96-1D8E-4BE5-8AFE-F8914C742C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fe9914-c092-4200-a7d8-cc85a6bef288"/>
    <ds:schemaRef ds:uri="afc29c3b-9522-4360-ba9d-c1dc5ac90a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51343D-8703-4BD3-94A2-0CA851CFBDF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 with Graphs</vt:lpstr>
      <vt:lpstr>Building Type Summary</vt:lpstr>
      <vt:lpstr>GFA Summary</vt:lpstr>
      <vt:lpstr>EUI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Donohue</cp:lastModifiedBy>
  <dcterms:created xsi:type="dcterms:W3CDTF">2024-09-03T20:07:00Z</dcterms:created>
  <dcterms:modified xsi:type="dcterms:W3CDTF">2024-09-17T19:56:04Z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0x0101005983132403D1464F8DDC272820BA8C1B</vt:lpwstr>
  </property>
</Properties>
</file>